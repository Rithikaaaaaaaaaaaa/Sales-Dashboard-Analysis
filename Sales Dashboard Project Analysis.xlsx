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0" yWindow="-100" windowWidth="22150" windowHeight="11830"/>
  </bookViews>
  <sheets>
    <sheet name="Dashboard" sheetId="5" r:id="rId1"/>
    <sheet name="SalesData" sheetId="3" r:id="rId2"/>
    <sheet name="Pivot Table" sheetId="4" r:id="rId3"/>
  </sheets>
  <definedNames>
    <definedName name="Slicer_Product">#N/A</definedName>
    <definedName name="Slicer_Region">#N/A</definedName>
    <definedName name="Slicer_Sales_Person">#N/A</definedName>
  </definedNames>
  <calcPr calcId="144525"/>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K6" i="3"/>
  <c r="K4" i="3"/>
  <c r="K2" i="3"/>
  <c r="G51" i="3" l="1"/>
  <c r="F51" i="3"/>
  <c r="H51" i="3" s="1"/>
  <c r="I51" i="3" s="1"/>
  <c r="G50" i="3"/>
  <c r="F50" i="3"/>
  <c r="H50" i="3" s="1"/>
  <c r="I50" i="3" s="1"/>
  <c r="G49" i="3"/>
  <c r="F49" i="3"/>
  <c r="H49" i="3" s="1"/>
  <c r="I49" i="3" s="1"/>
  <c r="G48" i="3"/>
  <c r="F48" i="3"/>
  <c r="H48" i="3" s="1"/>
  <c r="I48" i="3" s="1"/>
  <c r="G47" i="3"/>
  <c r="F47" i="3"/>
  <c r="H47" i="3" s="1"/>
  <c r="I47" i="3" s="1"/>
  <c r="G46" i="3"/>
  <c r="F46" i="3"/>
  <c r="H46" i="3" s="1"/>
  <c r="I46" i="3" s="1"/>
  <c r="G45" i="3"/>
  <c r="F45" i="3"/>
  <c r="H45" i="3" s="1"/>
  <c r="I45" i="3" s="1"/>
  <c r="G44" i="3"/>
  <c r="F44" i="3"/>
  <c r="H44" i="3" s="1"/>
  <c r="I44" i="3" s="1"/>
  <c r="G43" i="3"/>
  <c r="F43" i="3"/>
  <c r="H43" i="3" s="1"/>
  <c r="I43" i="3" s="1"/>
  <c r="G42" i="3"/>
  <c r="F42" i="3"/>
  <c r="H42" i="3" s="1"/>
  <c r="I42" i="3" s="1"/>
  <c r="G41" i="3"/>
  <c r="F41" i="3"/>
  <c r="H41" i="3" s="1"/>
  <c r="I41" i="3" s="1"/>
  <c r="G40" i="3"/>
  <c r="F40" i="3"/>
  <c r="H40" i="3" s="1"/>
  <c r="I40" i="3" s="1"/>
  <c r="G39" i="3"/>
  <c r="F39" i="3"/>
  <c r="H39" i="3" s="1"/>
  <c r="I39" i="3" s="1"/>
  <c r="G38" i="3"/>
  <c r="F38" i="3"/>
  <c r="H38" i="3" s="1"/>
  <c r="I38" i="3" s="1"/>
  <c r="G37" i="3"/>
  <c r="F37" i="3"/>
  <c r="H37" i="3" s="1"/>
  <c r="I37" i="3" s="1"/>
  <c r="G36" i="3"/>
  <c r="F36" i="3"/>
  <c r="H36" i="3" s="1"/>
  <c r="I36" i="3" s="1"/>
  <c r="G35" i="3"/>
  <c r="F35" i="3"/>
  <c r="H35" i="3" s="1"/>
  <c r="I35" i="3" s="1"/>
  <c r="G34" i="3"/>
  <c r="F34" i="3"/>
  <c r="H34" i="3" s="1"/>
  <c r="I34" i="3" s="1"/>
  <c r="G33" i="3"/>
  <c r="F33" i="3"/>
  <c r="H33" i="3" s="1"/>
  <c r="I33" i="3" s="1"/>
  <c r="G32" i="3"/>
  <c r="F32" i="3"/>
  <c r="H32" i="3" s="1"/>
  <c r="I32" i="3" s="1"/>
  <c r="H31" i="3"/>
  <c r="G31" i="3"/>
  <c r="F31" i="3"/>
  <c r="G30" i="3"/>
  <c r="F30" i="3"/>
  <c r="H30" i="3" s="1"/>
  <c r="I30" i="3" s="1"/>
  <c r="G29" i="3"/>
  <c r="F29" i="3"/>
  <c r="H29" i="3" s="1"/>
  <c r="I29" i="3" s="1"/>
  <c r="G28" i="3"/>
  <c r="F28" i="3"/>
  <c r="H28" i="3" s="1"/>
  <c r="I28" i="3" s="1"/>
  <c r="G27" i="3"/>
  <c r="F27" i="3"/>
  <c r="H27" i="3" s="1"/>
  <c r="I27" i="3" s="1"/>
  <c r="G26" i="3"/>
  <c r="F26" i="3"/>
  <c r="H26" i="3" s="1"/>
  <c r="I26" i="3" s="1"/>
  <c r="G25" i="3"/>
  <c r="F25" i="3"/>
  <c r="H25" i="3" s="1"/>
  <c r="I25" i="3" s="1"/>
  <c r="G24" i="3"/>
  <c r="F24" i="3"/>
  <c r="H24" i="3" s="1"/>
  <c r="I24" i="3" s="1"/>
  <c r="G23" i="3"/>
  <c r="F23" i="3"/>
  <c r="H23" i="3" s="1"/>
  <c r="I23" i="3" s="1"/>
  <c r="G22" i="3"/>
  <c r="F22" i="3"/>
  <c r="H22" i="3" s="1"/>
  <c r="I22" i="3" s="1"/>
  <c r="G21" i="3"/>
  <c r="F21" i="3"/>
  <c r="H21" i="3" s="1"/>
  <c r="I21" i="3" s="1"/>
  <c r="H20" i="3"/>
  <c r="I20" i="3" s="1"/>
  <c r="G20" i="3"/>
  <c r="F20" i="3"/>
  <c r="G19" i="3"/>
  <c r="F19" i="3"/>
  <c r="H19" i="3" s="1"/>
  <c r="I19" i="3" s="1"/>
  <c r="G18" i="3"/>
  <c r="F18" i="3"/>
  <c r="H18" i="3" s="1"/>
  <c r="I18" i="3" s="1"/>
  <c r="G17" i="3"/>
  <c r="F17" i="3"/>
  <c r="H17" i="3" s="1"/>
  <c r="I17" i="3" s="1"/>
  <c r="G16" i="3"/>
  <c r="F16" i="3"/>
  <c r="H16" i="3" s="1"/>
  <c r="I16" i="3" s="1"/>
  <c r="G15" i="3"/>
  <c r="F15" i="3"/>
  <c r="H15" i="3" s="1"/>
  <c r="I15" i="3" s="1"/>
  <c r="G14" i="3"/>
  <c r="F14" i="3"/>
  <c r="H14" i="3" s="1"/>
  <c r="I14" i="3" s="1"/>
  <c r="G13" i="3"/>
  <c r="F13" i="3"/>
  <c r="H13" i="3" s="1"/>
  <c r="I13" i="3" s="1"/>
  <c r="G12" i="3"/>
  <c r="F12" i="3"/>
  <c r="H12" i="3" s="1"/>
  <c r="I12" i="3" s="1"/>
  <c r="G11" i="3"/>
  <c r="F11" i="3"/>
  <c r="H11" i="3" s="1"/>
  <c r="I11" i="3" s="1"/>
  <c r="G10" i="3"/>
  <c r="F10" i="3"/>
  <c r="H10" i="3" s="1"/>
  <c r="I10" i="3" s="1"/>
  <c r="G9" i="3"/>
  <c r="F9" i="3"/>
  <c r="H9" i="3" s="1"/>
  <c r="I9" i="3" s="1"/>
  <c r="G8" i="3"/>
  <c r="F8" i="3"/>
  <c r="H8" i="3" s="1"/>
  <c r="I8" i="3" s="1"/>
  <c r="G7" i="3"/>
  <c r="F7" i="3"/>
  <c r="H7" i="3" s="1"/>
  <c r="I7" i="3" s="1"/>
  <c r="G6" i="3"/>
  <c r="F6" i="3"/>
  <c r="H6" i="3" s="1"/>
  <c r="I6" i="3" s="1"/>
  <c r="G5" i="3"/>
  <c r="F5" i="3"/>
  <c r="H5" i="3" s="1"/>
  <c r="I5" i="3" s="1"/>
  <c r="G4" i="3"/>
  <c r="F4" i="3"/>
  <c r="H4" i="3" s="1"/>
  <c r="I4" i="3" s="1"/>
  <c r="G3" i="3"/>
  <c r="F3" i="3"/>
  <c r="H3" i="3" s="1"/>
  <c r="I3" i="3" s="1"/>
  <c r="G2" i="3"/>
  <c r="F2" i="3"/>
  <c r="H2" i="3" s="1"/>
  <c r="I2" i="3" s="1"/>
  <c r="I31" i="3" l="1"/>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<sst xmlns="http://schemas.openxmlformats.org/spreadsheetml/2006/main" count="203" uniqueCount="37">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</sst>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quot;Rs.&quot;\ * #,##0_ ;_ &quot;Rs.&quot;\ * \-#,##0_ ;_ &quot;Rs.&quot;\ * &quot;-&quot;_ ;_ @_ "/>
    <numFmt numFmtId="165" formatCode="&quot;₹&quot;\ #,##0.00,,&quot; L&quot;"/>
  </numFmts>
  <fonts count="3">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0">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164" fontId="0" fillId="0" borderId="0" xfId="0" applyNumberFormat="1"/>
    <xf numFmtId="0" fontId="0" fillId="0" borderId="0" xfId="0" pivotButton="1"/>
    <xf numFmtId="0" fontId="0" fillId="0" borderId="0" xfId="0" applyNumberFormat="1"/>
    <xf numFmtId="165" fontId="0" fillId="0" borderId="0" xfId="0" applyNumberFormat="1"/>
  </cellXfs>
  <cellStyles count="2">
    <cellStyle name="Currency [0]" xfId="1" builtinId="7"/>
    <cellStyle name="Normal" xfId="0" builtinId="0"/>
  </cellStyles>
  <dxfs count="8">
    <dxf>
      <font>
        <b val="0"/>
        <i val="0"/>
        <strike val="0"/>
        <condense val="0"/>
        <extend val="0"/>
        <outline val="0"/>
        <shadow val="0"/>
        <u val="none"/>
        <vertAlign val="baseline"/>
        <sz val="11"/>
        <color theme="0"/>
        <name val="Aptos Narrow"/>
        <scheme val="minor"/>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Table!PivotTable4</c:name>
    <c:fmtId val="2"/>
  </c:pivotSource>
  <c:chart>
    <c:autoTitleDeleted val="1"/>
    <c:pivotFmts>
      <c:pivotFmt>
        <c:idx val="0"/>
        <c:marker>
          <c:symbol val="none"/>
        </c:marker>
        <c:dLbl>
          <c:idx val="0"/>
          <c:spPr/>
          <c:txPr>
            <a:bodyPr/>
            <a:lstStyle/>
            <a:p>
              <a:pPr>
                <a:defRPr sz="900" b="1"/>
              </a:pPr>
              <a:endParaRPr lang="en-US"/>
            </a:p>
          </c:txPr>
          <c:dLblPos val="t"/>
          <c:showLegendKey val="0"/>
          <c:showVal val="1"/>
          <c:showCatName val="0"/>
          <c:showSerName val="0"/>
          <c:showPercent val="0"/>
          <c:showBubbleSize val="0"/>
        </c:dLbl>
      </c:pivotFmt>
      <c:pivotFmt>
        <c:idx val="1"/>
        <c:dLbl>
          <c:idx val="0"/>
          <c:layout>
            <c:manualLayout>
              <c:x val="-4.1687664041994747E-2"/>
              <c:y val="-0.11653944298629337"/>
            </c:manualLayout>
          </c:layout>
          <c:dLblPos val="r"/>
          <c:showLegendKey val="0"/>
          <c:showVal val="1"/>
          <c:showCatName val="0"/>
          <c:showSerName val="0"/>
          <c:showPercent val="0"/>
          <c:showBubbleSize val="0"/>
        </c:dLbl>
      </c:pivotFmt>
      <c:pivotFmt>
        <c:idx val="2"/>
        <c:marker>
          <c:symbol val="none"/>
        </c:marker>
        <c:dLbl>
          <c:idx val="0"/>
          <c:spPr/>
          <c:txPr>
            <a:bodyPr/>
            <a:lstStyle/>
            <a:p>
              <a:pPr>
                <a:defRPr sz="900" b="1"/>
              </a:pPr>
              <a:endParaRPr lang="en-US"/>
            </a:p>
          </c:txPr>
          <c:dLblPos val="t"/>
          <c:showLegendKey val="0"/>
          <c:showVal val="1"/>
          <c:showCatName val="0"/>
          <c:showSerName val="0"/>
          <c:showPercent val="0"/>
          <c:showBubbleSize val="0"/>
        </c:dLbl>
      </c:pivotFmt>
      <c:pivotFmt>
        <c:idx val="3"/>
        <c:dLbl>
          <c:idx val="0"/>
          <c:layout>
            <c:manualLayout>
              <c:x val="-4.1687664041994747E-2"/>
              <c:y val="-0.11653944298629337"/>
            </c:manualLayout>
          </c:layout>
          <c:dLblPos val="r"/>
          <c:showLegendKey val="0"/>
          <c:showVal val="1"/>
          <c:showCatName val="0"/>
          <c:showSerName val="0"/>
          <c:showPercent val="0"/>
          <c:showBubbleSize val="0"/>
        </c:dLbl>
      </c:pivotFmt>
      <c:pivotFmt>
        <c:idx val="4"/>
        <c:marker>
          <c:symbol val="none"/>
        </c:marker>
        <c:dLbl>
          <c:idx val="0"/>
          <c:layout/>
          <c:spPr/>
          <c:txPr>
            <a:bodyPr/>
            <a:lstStyle/>
            <a:p>
              <a:pPr>
                <a:defRPr sz="900" b="1"/>
              </a:pPr>
              <a:endParaRPr lang="en-US"/>
            </a:p>
          </c:txPr>
          <c:dLblPos val="t"/>
          <c:showLegendKey val="0"/>
          <c:showVal val="1"/>
          <c:showCatName val="0"/>
          <c:showSerName val="0"/>
          <c:showPercent val="0"/>
          <c:showBubbleSize val="0"/>
        </c:dLbl>
      </c:pivotFmt>
      <c:pivotFmt>
        <c:idx val="5"/>
        <c:dLbl>
          <c:idx val="0"/>
          <c:layout>
            <c:manualLayout>
              <c:x val="-4.1687664041994747E-2"/>
              <c:y val="-0.11653944298629337"/>
            </c:manualLayout>
          </c:layout>
          <c:dLblPos val="r"/>
          <c:showLegendKey val="0"/>
          <c:showVal val="1"/>
          <c:showCatName val="0"/>
          <c:showSerName val="0"/>
          <c:showPercent val="0"/>
          <c:showBubbleSize val="0"/>
        </c:dLbl>
      </c:pivotFmt>
    </c:pivotFmts>
    <c:plotArea>
      <c:layout/>
      <c:lineChart>
        <c:grouping val="standard"/>
        <c:varyColors val="0"/>
        <c:ser>
          <c:idx val="0"/>
          <c:order val="0"/>
          <c:tx>
            <c:strRef>
              <c:f>'Pivot Table'!$K$3</c:f>
              <c:strCache>
                <c:ptCount val="1"/>
                <c:pt idx="0">
                  <c:v>Total</c:v>
                </c:pt>
              </c:strCache>
            </c:strRef>
          </c:tx>
          <c:marker>
            <c:symbol val="none"/>
          </c:marker>
          <c:dLbls>
            <c:dLbl>
              <c:idx val="4"/>
              <c:layout>
                <c:manualLayout>
                  <c:x val="-4.1687664041994747E-2"/>
                  <c:y val="-0.11653944298629337"/>
                </c:manualLayout>
              </c:layout>
              <c:dLblPos val="r"/>
              <c:showLegendKey val="0"/>
              <c:showVal val="1"/>
              <c:showCatName val="0"/>
              <c:showSerName val="0"/>
              <c:showPercent val="0"/>
              <c:showBubbleSize val="0"/>
            </c:dLbl>
            <c:spPr/>
            <c:txPr>
              <a:bodyPr/>
              <a:lstStyle/>
              <a:p>
                <a:pPr>
                  <a:defRPr sz="900" b="1"/>
                </a:pPr>
                <a:endParaRPr lang="en-US"/>
              </a:p>
            </c:txPr>
            <c:dLblPos val="t"/>
            <c:showLegendKey val="0"/>
            <c:showVal val="1"/>
            <c:showCatName val="0"/>
            <c:showSerName val="0"/>
            <c:showPercent val="0"/>
            <c:showBubbleSize val="0"/>
            <c:showLeaderLines val="0"/>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ser>
        <c:dLbls>
          <c:showLegendKey val="0"/>
          <c:showVal val="0"/>
          <c:showCatName val="0"/>
          <c:showSerName val="0"/>
          <c:showPercent val="0"/>
          <c:showBubbleSize val="0"/>
        </c:dLbls>
        <c:marker val="1"/>
        <c:smooth val="0"/>
        <c:axId val="272601472"/>
        <c:axId val="272603008"/>
      </c:lineChart>
      <c:catAx>
        <c:axId val="272601472"/>
        <c:scaling>
          <c:orientation val="minMax"/>
        </c:scaling>
        <c:delete val="0"/>
        <c:axPos val="b"/>
        <c:majorTickMark val="out"/>
        <c:minorTickMark val="none"/>
        <c:tickLblPos val="nextTo"/>
        <c:crossAx val="272603008"/>
        <c:crosses val="autoZero"/>
        <c:auto val="1"/>
        <c:lblAlgn val="ctr"/>
        <c:lblOffset val="100"/>
        <c:noMultiLvlLbl val="0"/>
      </c:catAx>
      <c:valAx>
        <c:axId val="272603008"/>
        <c:scaling>
          <c:orientation val="minMax"/>
        </c:scaling>
        <c:delete val="0"/>
        <c:axPos val="l"/>
        <c:numFmt formatCode="General" sourceLinked="1"/>
        <c:majorTickMark val="out"/>
        <c:minorTickMark val="none"/>
        <c:tickLblPos val="nextTo"/>
        <c:crossAx val="27260147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Table!PivotTable1</c:name>
    <c:fmtId val="4"/>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pivotFmt>
      <c:pivotFmt>
        <c:idx val="2"/>
      </c:pivotFmt>
      <c:pivotFmt>
        <c:idx val="3"/>
      </c:pivotFmt>
      <c:pivotFmt>
        <c:idx val="4"/>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7"/>
        <c:dLbl>
          <c:idx val="0"/>
          <c:layout>
            <c:manualLayout>
              <c:x val="-0.14681892332789559"/>
              <c:y val="0"/>
            </c:manualLayout>
          </c:layout>
          <c:showLegendKey val="0"/>
          <c:showVal val="1"/>
          <c:showCatName val="0"/>
          <c:showSerName val="0"/>
          <c:showPercent val="0"/>
          <c:showBubbleSize val="0"/>
        </c:dLbl>
      </c:pivotFmt>
      <c:pivotFmt>
        <c:idx val="8"/>
        <c:dLbl>
          <c:idx val="0"/>
          <c:layout>
            <c:manualLayout>
              <c:x val="0.14355628058727568"/>
              <c:y val="1.1548913970139289E-2"/>
            </c:manualLayout>
          </c:layout>
          <c:showLegendKey val="0"/>
          <c:showVal val="1"/>
          <c:showCatName val="0"/>
          <c:showSerName val="0"/>
          <c:showPercent val="0"/>
          <c:showBubbleSize val="0"/>
        </c:dLbl>
      </c:pivotFmt>
      <c:pivotFmt>
        <c:idx val="9"/>
        <c:dLbl>
          <c:idx val="0"/>
          <c:layout>
            <c:manualLayout>
              <c:x val="0.12724306688417619"/>
              <c:y val="5.7744569850696183E-2"/>
            </c:manualLayout>
          </c:layout>
          <c:showLegendKey val="0"/>
          <c:showVal val="1"/>
          <c:showCatName val="0"/>
          <c:showSerName val="0"/>
          <c:showPercent val="0"/>
          <c:showBubbleSize val="0"/>
        </c:dLbl>
      </c:pivotFmt>
      <c:pivotFmt>
        <c:idx val="10"/>
        <c:dLbl>
          <c:idx val="0"/>
          <c:layout>
            <c:manualLayout>
              <c:x val="-0.1729200652528548"/>
              <c:y val="1.1548913970139237E-2"/>
            </c:manualLayout>
          </c:layout>
          <c:showLegendKey val="0"/>
          <c:showVal val="1"/>
          <c:showCatName val="0"/>
          <c:showSerName val="0"/>
          <c:showPercent val="0"/>
          <c:showBubbleSize val="0"/>
        </c:dLbl>
      </c:pivotFmt>
    </c:pivotFmts>
    <c:plotArea>
      <c:layout/>
      <c:doughnutChart>
        <c:varyColors val="1"/>
        <c:ser>
          <c:idx val="0"/>
          <c:order val="0"/>
          <c:tx>
            <c:strRef>
              <c:f>'Pivot Table'!$B$3</c:f>
              <c:strCache>
                <c:ptCount val="1"/>
                <c:pt idx="0">
                  <c:v>Total</c:v>
                </c:pt>
              </c:strCache>
            </c:strRef>
          </c:tx>
          <c:dLbls>
            <c:dLbl>
              <c:idx val="0"/>
              <c:layout>
                <c:manualLayout>
                  <c:x val="0.14355628058727568"/>
                  <c:y val="1.1548913970139289E-2"/>
                </c:manualLayout>
              </c:layout>
              <c:showLegendKey val="0"/>
              <c:showVal val="1"/>
              <c:showCatName val="0"/>
              <c:showSerName val="0"/>
              <c:showPercent val="0"/>
              <c:showBubbleSize val="0"/>
            </c:dLbl>
            <c:dLbl>
              <c:idx val="1"/>
              <c:layout>
                <c:manualLayout>
                  <c:x val="0.12724306688417619"/>
                  <c:y val="5.7744569850696183E-2"/>
                </c:manualLayout>
              </c:layout>
              <c:showLegendKey val="0"/>
              <c:showVal val="1"/>
              <c:showCatName val="0"/>
              <c:showSerName val="0"/>
              <c:showPercent val="0"/>
              <c:showBubbleSize val="0"/>
            </c:dLbl>
            <c:dLbl>
              <c:idx val="2"/>
              <c:layout>
                <c:manualLayout>
                  <c:x val="-0.1729200652528548"/>
                  <c:y val="1.1548913970139237E-2"/>
                </c:manualLayout>
              </c:layout>
              <c:showLegendKey val="0"/>
              <c:showVal val="1"/>
              <c:showCatName val="0"/>
              <c:showSerName val="0"/>
              <c:showPercent val="0"/>
              <c:showBubbleSize val="0"/>
            </c:dLbl>
            <c:dLbl>
              <c:idx val="3"/>
              <c:layout>
                <c:manualLayout>
                  <c:x val="-0.14681892332789559"/>
                  <c:y val="0"/>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1"/>
          </c:dLbls>
          <c:cat>
            <c:strRef>
              <c:f>'Pivot Table'!$A$4:$A$8</c:f>
              <c:strCache>
                <c:ptCount val="4"/>
                <c:pt idx="0">
                  <c:v>East</c:v>
                </c:pt>
                <c:pt idx="1">
                  <c:v>North</c:v>
                </c:pt>
                <c:pt idx="2">
                  <c:v>South</c:v>
                </c:pt>
                <c:pt idx="3">
                  <c:v>West</c:v>
                </c:pt>
              </c:strCache>
            </c:strRef>
          </c:cat>
          <c:val>
            <c:numRef>
              <c:f>'Pivot Table'!$B$4:$B$8</c:f>
              <c:numCache>
                <c:formatCode>"₹"\ #,##0.00,," L"</c:formatCode>
                <c:ptCount val="4"/>
                <c:pt idx="0">
                  <c:v>3534400</c:v>
                </c:pt>
                <c:pt idx="1">
                  <c:v>2661400</c:v>
                </c:pt>
                <c:pt idx="2">
                  <c:v>2870600</c:v>
                </c:pt>
                <c:pt idx="3">
                  <c:v>3878100</c:v>
                </c:pt>
              </c:numCache>
            </c:numRef>
          </c:val>
        </c:ser>
        <c:dLbls>
          <c:showLegendKey val="0"/>
          <c:showVal val="1"/>
          <c:showCatName val="0"/>
          <c:showSerName val="0"/>
          <c:showPercent val="0"/>
          <c:showBubbleSize val="0"/>
          <c:showLeaderLines val="1"/>
        </c:dLbls>
        <c:firstSliceAng val="0"/>
        <c:holeSize val="50"/>
      </c:doughnutChart>
    </c:plotArea>
    <c:legend>
      <c:legendPos val="b"/>
      <c:layout/>
      <c:overlay val="0"/>
    </c:legend>
    <c:plotVisOnly val="1"/>
    <c:dispBlanksAs val="gap"/>
    <c:showDLblsOverMax val="0"/>
  </c:chart>
  <c:spPr>
    <a:noFill/>
    <a:ln w="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Table!PivotTable2</c:name>
    <c:fmtId val="2"/>
  </c:pivotSource>
  <c:chart>
    <c:autoTitleDeleted val="1"/>
    <c:pivotFmts>
      <c:pivotFmt>
        <c:idx val="0"/>
        <c:marker>
          <c:symbol val="none"/>
        </c:marker>
        <c:dLbl>
          <c:idx val="0"/>
          <c:delete val="1"/>
        </c:dLbl>
      </c:pivotFmt>
      <c:pivotFmt>
        <c:idx val="1"/>
        <c:dLbl>
          <c:idx val="0"/>
          <c:dLblPos val="outEnd"/>
          <c:showLegendKey val="0"/>
          <c:showVal val="1"/>
          <c:showCatName val="0"/>
          <c:showSerName val="0"/>
          <c:showPercent val="0"/>
          <c:showBubbleSize val="0"/>
        </c:dLbl>
      </c:pivotFmt>
      <c:pivotFmt>
        <c:idx val="2"/>
        <c:dLbl>
          <c:idx val="0"/>
          <c:dLblPos val="outEnd"/>
          <c:showLegendKey val="0"/>
          <c:showVal val="1"/>
          <c:showCatName val="0"/>
          <c:showSerName val="0"/>
          <c:showPercent val="0"/>
          <c:showBubbleSize val="0"/>
        </c:dLbl>
      </c:pivotFmt>
      <c:pivotFmt>
        <c:idx val="3"/>
        <c:dLbl>
          <c:idx val="0"/>
          <c:dLblPos val="outEnd"/>
          <c:showLegendKey val="0"/>
          <c:showVal val="1"/>
          <c:showCatName val="0"/>
          <c:showSerName val="0"/>
          <c:showPercent val="0"/>
          <c:showBubbleSize val="0"/>
        </c:dLbl>
      </c:pivotFmt>
      <c:pivotFmt>
        <c:idx val="4"/>
        <c:dLbl>
          <c:idx val="0"/>
          <c:dLblPos val="outEnd"/>
          <c:showLegendKey val="0"/>
          <c:showVal val="1"/>
          <c:showCatName val="0"/>
          <c:showSerName val="0"/>
          <c:showPercent val="0"/>
          <c:showBubbleSize val="0"/>
        </c:dLbl>
      </c:pivotFmt>
      <c:pivotFmt>
        <c:idx val="5"/>
        <c:dLbl>
          <c:idx val="0"/>
          <c:dLblPos val="outEnd"/>
          <c:showLegendKey val="0"/>
          <c:showVal val="1"/>
          <c:showCatName val="0"/>
          <c:showSerName val="0"/>
          <c:showPercent val="0"/>
          <c:showBubbleSize val="0"/>
        </c:dLbl>
      </c:pivotFmt>
      <c:pivotFmt>
        <c:idx val="6"/>
        <c:dLbl>
          <c:idx val="0"/>
          <c:dLblPos val="outEnd"/>
          <c:showLegendKey val="0"/>
          <c:showVal val="1"/>
          <c:showCatName val="0"/>
          <c:showSerName val="0"/>
          <c:showPercent val="0"/>
          <c:showBubbleSize val="0"/>
        </c:dLbl>
      </c:pivotFmt>
      <c:pivotFmt>
        <c:idx val="7"/>
        <c:dLbl>
          <c:idx val="0"/>
          <c:dLblPos val="outEnd"/>
          <c:showLegendKey val="0"/>
          <c:showVal val="1"/>
          <c:showCatName val="0"/>
          <c:showSerName val="0"/>
          <c:showPercent val="0"/>
          <c:showBubbleSize val="0"/>
        </c:dLbl>
      </c:pivotFmt>
      <c:pivotFmt>
        <c:idx val="8"/>
        <c:marker>
          <c:symbol val="none"/>
        </c:marker>
        <c:dLbl>
          <c:idx val="0"/>
          <c:delete val="1"/>
        </c:dLbl>
      </c:pivotFmt>
      <c:pivotFmt>
        <c:idx val="9"/>
        <c:dLbl>
          <c:idx val="0"/>
          <c:dLblPos val="outEnd"/>
          <c:showLegendKey val="0"/>
          <c:showVal val="1"/>
          <c:showCatName val="0"/>
          <c:showSerName val="0"/>
          <c:showPercent val="0"/>
          <c:showBubbleSize val="0"/>
        </c:dLbl>
      </c:pivotFmt>
      <c:pivotFmt>
        <c:idx val="10"/>
        <c:dLbl>
          <c:idx val="0"/>
          <c:dLblPos val="outEnd"/>
          <c:showLegendKey val="0"/>
          <c:showVal val="1"/>
          <c:showCatName val="0"/>
          <c:showSerName val="0"/>
          <c:showPercent val="0"/>
          <c:showBubbleSize val="0"/>
        </c:dLbl>
      </c:pivotFmt>
      <c:pivotFmt>
        <c:idx val="11"/>
        <c:dLbl>
          <c:idx val="0"/>
          <c:dLblPos val="outEnd"/>
          <c:showLegendKey val="0"/>
          <c:showVal val="1"/>
          <c:showCatName val="0"/>
          <c:showSerName val="0"/>
          <c:showPercent val="0"/>
          <c:showBubbleSize val="0"/>
        </c:dLbl>
      </c:pivotFmt>
      <c:pivotFmt>
        <c:idx val="12"/>
        <c:dLbl>
          <c:idx val="0"/>
          <c:dLblPos val="outEnd"/>
          <c:showLegendKey val="0"/>
          <c:showVal val="1"/>
          <c:showCatName val="0"/>
          <c:showSerName val="0"/>
          <c:showPercent val="0"/>
          <c:showBubbleSize val="0"/>
        </c:dLbl>
      </c:pivotFmt>
      <c:pivotFmt>
        <c:idx val="13"/>
        <c:dLbl>
          <c:idx val="0"/>
          <c:dLblPos val="outEnd"/>
          <c:showLegendKey val="0"/>
          <c:showVal val="1"/>
          <c:showCatName val="0"/>
          <c:showSerName val="0"/>
          <c:showPercent val="0"/>
          <c:showBubbleSize val="0"/>
        </c:dLbl>
      </c:pivotFmt>
      <c:pivotFmt>
        <c:idx val="14"/>
        <c:dLbl>
          <c:idx val="0"/>
          <c:dLblPos val="outEnd"/>
          <c:showLegendKey val="0"/>
          <c:showVal val="1"/>
          <c:showCatName val="0"/>
          <c:showSerName val="0"/>
          <c:showPercent val="0"/>
          <c:showBubbleSize val="0"/>
        </c:dLbl>
      </c:pivotFmt>
      <c:pivotFmt>
        <c:idx val="15"/>
        <c:dLbl>
          <c:idx val="0"/>
          <c:dLblPos val="outEnd"/>
          <c:showLegendKey val="0"/>
          <c:showVal val="1"/>
          <c:showCatName val="0"/>
          <c:showSerName val="0"/>
          <c:showPercent val="0"/>
          <c:showBubbleSize val="0"/>
        </c:dLbl>
      </c:pivotFmt>
      <c:pivotFmt>
        <c:idx val="16"/>
        <c:marker>
          <c:symbol val="none"/>
        </c:marker>
        <c:dLbl>
          <c:idx val="0"/>
          <c:delete val="1"/>
        </c:dLbl>
      </c:pivotFmt>
      <c:pivotFmt>
        <c:idx val="17"/>
        <c:dLbl>
          <c:idx val="0"/>
          <c:layout/>
          <c:dLblPos val="outEnd"/>
          <c:showLegendKey val="0"/>
          <c:showVal val="1"/>
          <c:showCatName val="0"/>
          <c:showSerName val="0"/>
          <c:showPercent val="0"/>
          <c:showBubbleSize val="0"/>
        </c:dLbl>
      </c:pivotFmt>
      <c:pivotFmt>
        <c:idx val="18"/>
        <c:dLbl>
          <c:idx val="0"/>
          <c:layout/>
          <c:dLblPos val="outEnd"/>
          <c:showLegendKey val="0"/>
          <c:showVal val="1"/>
          <c:showCatName val="0"/>
          <c:showSerName val="0"/>
          <c:showPercent val="0"/>
          <c:showBubbleSize val="0"/>
        </c:dLbl>
      </c:pivotFmt>
      <c:pivotFmt>
        <c:idx val="19"/>
        <c:dLbl>
          <c:idx val="0"/>
          <c:layout/>
          <c:dLblPos val="outEnd"/>
          <c:showLegendKey val="0"/>
          <c:showVal val="1"/>
          <c:showCatName val="0"/>
          <c:showSerName val="0"/>
          <c:showPercent val="0"/>
          <c:showBubbleSize val="0"/>
        </c:dLbl>
      </c:pivotFmt>
      <c:pivotFmt>
        <c:idx val="20"/>
        <c:dLbl>
          <c:idx val="0"/>
          <c:layout/>
          <c:dLblPos val="outEnd"/>
          <c:showLegendKey val="0"/>
          <c:showVal val="1"/>
          <c:showCatName val="0"/>
          <c:showSerName val="0"/>
          <c:showPercent val="0"/>
          <c:showBubbleSize val="0"/>
        </c:dLbl>
      </c:pivotFmt>
      <c:pivotFmt>
        <c:idx val="21"/>
        <c:dLbl>
          <c:idx val="0"/>
          <c:layout/>
          <c:dLblPos val="outEnd"/>
          <c:showLegendKey val="0"/>
          <c:showVal val="1"/>
          <c:showCatName val="0"/>
          <c:showSerName val="0"/>
          <c:showPercent val="0"/>
          <c:showBubbleSize val="0"/>
        </c:dLbl>
      </c:pivotFmt>
      <c:pivotFmt>
        <c:idx val="22"/>
        <c:dLbl>
          <c:idx val="0"/>
          <c:layout/>
          <c:dLblPos val="outEnd"/>
          <c:showLegendKey val="0"/>
          <c:showVal val="1"/>
          <c:showCatName val="0"/>
          <c:showSerName val="0"/>
          <c:showPercent val="0"/>
          <c:showBubbleSize val="0"/>
        </c:dLbl>
      </c:pivotFmt>
      <c:pivotFmt>
        <c:idx val="23"/>
        <c:dLbl>
          <c:idx val="0"/>
          <c:layout/>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 Table'!$E$3</c:f>
              <c:strCache>
                <c:ptCount val="1"/>
                <c:pt idx="0">
                  <c:v>Total</c:v>
                </c:pt>
              </c:strCache>
            </c:strRef>
          </c:tx>
          <c:invertIfNegative val="0"/>
          <c:dLbls>
            <c:dLbl>
              <c:idx val="0"/>
              <c:layout/>
              <c:dLblPos val="outEnd"/>
              <c:showLegendKey val="0"/>
              <c:showVal val="1"/>
              <c:showCatName val="0"/>
              <c:showSerName val="0"/>
              <c:showPercent val="0"/>
              <c:showBubbleSize val="0"/>
            </c:dLbl>
            <c:dLbl>
              <c:idx val="1"/>
              <c:layout/>
              <c:dLblPos val="outEnd"/>
              <c:showLegendKey val="0"/>
              <c:showVal val="1"/>
              <c:showCatName val="0"/>
              <c:showSerName val="0"/>
              <c:showPercent val="0"/>
              <c:showBubbleSize val="0"/>
            </c:dLbl>
            <c:dLbl>
              <c:idx val="2"/>
              <c:layout/>
              <c:dLblPos val="outEnd"/>
              <c:showLegendKey val="0"/>
              <c:showVal val="1"/>
              <c:showCatName val="0"/>
              <c:showSerName val="0"/>
              <c:showPercent val="0"/>
              <c:showBubbleSize val="0"/>
            </c:dLbl>
            <c:dLbl>
              <c:idx val="3"/>
              <c:layout/>
              <c:dLblPos val="outEnd"/>
              <c:showLegendKey val="0"/>
              <c:showVal val="1"/>
              <c:showCatName val="0"/>
              <c:showSerName val="0"/>
              <c:showPercent val="0"/>
              <c:showBubbleSize val="0"/>
            </c:dLbl>
            <c:dLbl>
              <c:idx val="4"/>
              <c:layout/>
              <c:dLblPos val="outEnd"/>
              <c:showLegendKey val="0"/>
              <c:showVal val="1"/>
              <c:showCatName val="0"/>
              <c:showSerName val="0"/>
              <c:showPercent val="0"/>
              <c:showBubbleSize val="0"/>
            </c:dLbl>
            <c:dLbl>
              <c:idx val="5"/>
              <c:layout/>
              <c:dLblPos val="outEnd"/>
              <c:showLegendKey val="0"/>
              <c:showVal val="1"/>
              <c:showCatName val="0"/>
              <c:showSerName val="0"/>
              <c:showPercent val="0"/>
              <c:showBubbleSize val="0"/>
            </c:dLbl>
            <c:dLbl>
              <c:idx val="6"/>
              <c:layout/>
              <c:dLblPos val="outEnd"/>
              <c:showLegendKey val="0"/>
              <c:showVal val="1"/>
              <c:showCatName val="0"/>
              <c:showSerName val="0"/>
              <c:showPercent val="0"/>
              <c:showBubbleSize val="0"/>
            </c:dLbl>
            <c:spPr/>
            <c:txPr>
              <a:bodyPr/>
              <a:lstStyle/>
              <a:p>
                <a:pPr>
                  <a:defRPr sz="900" b="1"/>
                </a:pPr>
                <a:endParaRPr lang="en-US"/>
              </a:p>
            </c:txPr>
            <c:dLblPos val="outEnd"/>
            <c:showLegendKey val="0"/>
            <c:showVal val="0"/>
            <c:showCatName val="0"/>
            <c:showSerName val="0"/>
            <c:showPercent val="0"/>
            <c:showBubbleSize val="0"/>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 #,##0.00,," L"</c:formatCode>
                <c:ptCount val="7"/>
                <c:pt idx="0">
                  <c:v>547200</c:v>
                </c:pt>
                <c:pt idx="1">
                  <c:v>2222500</c:v>
                </c:pt>
                <c:pt idx="2">
                  <c:v>706800</c:v>
                </c:pt>
                <c:pt idx="3">
                  <c:v>898000</c:v>
                </c:pt>
                <c:pt idx="4">
                  <c:v>2350000</c:v>
                </c:pt>
                <c:pt idx="5">
                  <c:v>3196000</c:v>
                </c:pt>
                <c:pt idx="6">
                  <c:v>3024000</c:v>
                </c:pt>
              </c:numCache>
            </c:numRef>
          </c:val>
        </c:ser>
        <c:dLbls>
          <c:showLegendKey val="0"/>
          <c:showVal val="0"/>
          <c:showCatName val="0"/>
          <c:showSerName val="0"/>
          <c:showPercent val="0"/>
          <c:showBubbleSize val="0"/>
        </c:dLbls>
        <c:gapWidth val="78"/>
        <c:axId val="331062656"/>
        <c:axId val="331073024"/>
      </c:barChart>
      <c:catAx>
        <c:axId val="331062656"/>
        <c:scaling>
          <c:orientation val="minMax"/>
        </c:scaling>
        <c:delete val="0"/>
        <c:axPos val="l"/>
        <c:majorTickMark val="out"/>
        <c:minorTickMark val="none"/>
        <c:tickLblPos val="nextTo"/>
        <c:crossAx val="331073024"/>
        <c:crosses val="autoZero"/>
        <c:auto val="1"/>
        <c:lblAlgn val="ctr"/>
        <c:lblOffset val="100"/>
        <c:noMultiLvlLbl val="0"/>
      </c:catAx>
      <c:valAx>
        <c:axId val="331073024"/>
        <c:scaling>
          <c:orientation val="minMax"/>
        </c:scaling>
        <c:delete val="1"/>
        <c:axPos val="b"/>
        <c:numFmt formatCode="&quot;₹&quot;\ #,##0.00,,&quot; L&quot;" sourceLinked="1"/>
        <c:majorTickMark val="out"/>
        <c:minorTickMark val="none"/>
        <c:tickLblPos val="nextTo"/>
        <c:crossAx val="331062656"/>
        <c:crosses val="autoZero"/>
        <c:crossBetween val="between"/>
      </c:valAx>
      <c:dTable>
        <c:showHorzBorder val="1"/>
        <c:showVertBorder val="1"/>
        <c:showOutline val="1"/>
        <c:showKeys val="1"/>
      </c:dTable>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Table!PivotTable3</c:name>
    <c:fmtId val="2"/>
  </c:pivotSource>
  <c:chart>
    <c:autoTitleDeleted val="1"/>
    <c:pivotFmts>
      <c:pivotFmt>
        <c:idx val="0"/>
        <c:marker>
          <c:symbol val="none"/>
        </c:marker>
        <c:dLbl>
          <c:idx val="0"/>
          <c:spPr/>
          <c:txPr>
            <a:bodyPr/>
            <a:lstStyle/>
            <a:p>
              <a:pPr>
                <a:defRPr sz="900" b="1"/>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sz="900" b="1"/>
              </a:pPr>
              <a:endParaRPr lang="en-US"/>
            </a:p>
          </c:txPr>
          <c:dLblPos val="outEnd"/>
          <c:showLegendKey val="0"/>
          <c:showVal val="1"/>
          <c:showCatName val="0"/>
          <c:showSerName val="0"/>
          <c:showPercent val="0"/>
          <c:showBubbleSize val="0"/>
        </c:dLbl>
      </c:pivotFmt>
      <c:pivotFmt>
        <c:idx val="2"/>
        <c:marker>
          <c:symbol val="none"/>
        </c:marker>
        <c:dLbl>
          <c:idx val="0"/>
          <c:layout/>
          <c:spPr/>
          <c:txPr>
            <a:bodyPr/>
            <a:lstStyle/>
            <a:p>
              <a:pPr>
                <a:defRPr sz="900" b="1"/>
              </a:pPr>
              <a:endParaRPr lang="en-US"/>
            </a:p>
          </c:txPr>
          <c:dLblPos val="outEnd"/>
          <c:showLegendKey val="0"/>
          <c:showVal val="1"/>
          <c:showCatName val="0"/>
          <c:showSerName val="0"/>
          <c:showPercent val="0"/>
          <c:showBubbleSize val="0"/>
        </c:dLbl>
      </c:pivotFmt>
      <c:pivotFmt>
        <c:idx val="3"/>
        <c:dLbl>
          <c:idx val="0"/>
          <c:layout>
            <c:manualLayout>
              <c:x val="3.2362459546926158E-3"/>
              <c:y val="-4.5977011494252873E-2"/>
            </c:manualLayout>
          </c:layout>
          <c:dLblPos val="outEnd"/>
          <c:showLegendKey val="0"/>
          <c:showVal val="1"/>
          <c:showCatName val="0"/>
          <c:showSerName val="0"/>
          <c:showPercent val="0"/>
          <c:showBubbleSize val="0"/>
        </c:dLbl>
      </c:pivotFmt>
      <c:pivotFmt>
        <c:idx val="4"/>
        <c:dLbl>
          <c:idx val="0"/>
          <c:layout>
            <c:manualLayout>
              <c:x val="3.5598705501618123E-2"/>
              <c:y val="-3.4482758620689655E-2"/>
            </c:manualLayout>
          </c:layout>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Table'!$H$3</c:f>
              <c:strCache>
                <c:ptCount val="1"/>
                <c:pt idx="0">
                  <c:v>Total</c:v>
                </c:pt>
              </c:strCache>
            </c:strRef>
          </c:tx>
          <c:invertIfNegative val="0"/>
          <c:dLbls>
            <c:dLbl>
              <c:idx val="0"/>
              <c:layout>
                <c:manualLayout>
                  <c:x val="3.5598705501618123E-2"/>
                  <c:y val="-3.4482758620689655E-2"/>
                </c:manualLayout>
              </c:layout>
              <c:dLblPos val="outEnd"/>
              <c:showLegendKey val="0"/>
              <c:showVal val="1"/>
              <c:showCatName val="0"/>
              <c:showSerName val="0"/>
              <c:showPercent val="0"/>
              <c:showBubbleSize val="0"/>
            </c:dLbl>
            <c:dLbl>
              <c:idx val="4"/>
              <c:layout>
                <c:manualLayout>
                  <c:x val="3.2362459546926158E-3"/>
                  <c:y val="-4.5977011494252873E-2"/>
                </c:manualLayout>
              </c:layout>
              <c:dLblPos val="outEnd"/>
              <c:showLegendKey val="0"/>
              <c:showVal val="1"/>
              <c:showCatName val="0"/>
              <c:showSerName val="0"/>
              <c:showPercent val="0"/>
              <c:showBubbleSize val="0"/>
            </c:dLbl>
            <c:spPr/>
            <c:txPr>
              <a:bodyPr/>
              <a:lstStyle/>
              <a:p>
                <a:pPr>
                  <a:defRPr sz="900" b="1"/>
                </a:pPr>
                <a:endParaRPr lang="en-US"/>
              </a:p>
            </c:txPr>
            <c:dLblPos val="outEnd"/>
            <c:showLegendKey val="0"/>
            <c:showVal val="1"/>
            <c:showCatName val="0"/>
            <c:showSerName val="0"/>
            <c:showPercent val="0"/>
            <c:showBubbleSize val="0"/>
            <c:showLeaderLines val="0"/>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 #,##0.00,,"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ser>
        <c:dLbls>
          <c:showLegendKey val="0"/>
          <c:showVal val="0"/>
          <c:showCatName val="0"/>
          <c:showSerName val="0"/>
          <c:showPercent val="0"/>
          <c:showBubbleSize val="0"/>
        </c:dLbls>
        <c:gapWidth val="70"/>
        <c:axId val="330484352"/>
        <c:axId val="330977664"/>
      </c:barChart>
      <c:catAx>
        <c:axId val="330484352"/>
        <c:scaling>
          <c:orientation val="minMax"/>
        </c:scaling>
        <c:delete val="0"/>
        <c:axPos val="b"/>
        <c:majorTickMark val="out"/>
        <c:minorTickMark val="none"/>
        <c:tickLblPos val="nextTo"/>
        <c:crossAx val="330977664"/>
        <c:crosses val="autoZero"/>
        <c:auto val="1"/>
        <c:lblAlgn val="ctr"/>
        <c:lblOffset val="100"/>
        <c:noMultiLvlLbl val="0"/>
      </c:catAx>
      <c:valAx>
        <c:axId val="330977664"/>
        <c:scaling>
          <c:orientation val="minMax"/>
        </c:scaling>
        <c:delete val="0"/>
        <c:axPos val="l"/>
        <c:numFmt formatCode="&quot;₹&quot;\ #,##0.00,,&quot; L&quot;" sourceLinked="1"/>
        <c:majorTickMark val="out"/>
        <c:minorTickMark val="none"/>
        <c:tickLblPos val="nextTo"/>
        <c:crossAx val="33048435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Table!PivotTable1</c:name>
    <c:fmtId val="2"/>
  </c:pivotSource>
  <c:chart>
    <c:title>
      <c:tx>
        <c:rich>
          <a:bodyPr/>
          <a:lstStyle/>
          <a:p>
            <a:pPr>
              <a:defRPr/>
            </a:pPr>
            <a:r>
              <a:rPr lang="en-US" b="0">
                <a:solidFill>
                  <a:schemeClr val="tx1">
                    <a:lumMod val="50000"/>
                    <a:lumOff val="50000"/>
                  </a:schemeClr>
                </a:solidFill>
              </a:rPr>
              <a:t>Total</a:t>
            </a:r>
            <a:r>
              <a:rPr lang="en-US" b="0" baseline="0">
                <a:solidFill>
                  <a:schemeClr val="tx1">
                    <a:lumMod val="50000"/>
                    <a:lumOff val="50000"/>
                  </a:schemeClr>
                </a:solidFill>
              </a:rPr>
              <a:t> Sales By Region</a:t>
            </a:r>
            <a:endParaRPr lang="en-US" b="0">
              <a:solidFill>
                <a:schemeClr val="tx1">
                  <a:lumMod val="50000"/>
                  <a:lumOff val="50000"/>
                </a:schemeClr>
              </a:solidFill>
            </a:endParaRP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pivotFmt>
      <c:pivotFmt>
        <c:idx val="2"/>
      </c:pivotFmt>
      <c:pivotFmt>
        <c:idx val="3"/>
      </c:pivotFmt>
      <c:pivotFmt>
        <c:idx val="4"/>
      </c:pivotFmt>
    </c:pivotFmts>
    <c:plotArea>
      <c:layout/>
      <c:doughnutChart>
        <c:varyColors val="1"/>
        <c:ser>
          <c:idx val="0"/>
          <c:order val="0"/>
          <c:tx>
            <c:strRef>
              <c:f>'Pivot Table'!$B$3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'Pivot Table'!$A$4:$A$8</c:f>
              <c:strCache>
                <c:ptCount val="4"/>
                <c:pt idx="0">
                  <c:v>East</c:v>
                </c:pt>
                <c:pt idx="1">
                  <c:v>North</c:v>
                </c:pt>
                <c:pt idx="2">
                  <c:v>South</c:v>
                </c:pt>
                <c:pt idx="3">
                  <c:v>West</c:v>
                </c:pt>
              </c:strCache>
            </c:strRef>
          </c:cat>
          <c:val>
            <c:numRef>
              <c:f>'Pivot Table'!$B$4:$B$8</c:f>
              <c:numCache>
                <c:formatCode>"₹"\ #,##0.00,," L"</c:formatCode>
                <c:ptCount val="4"/>
                <c:pt idx="0">
                  <c:v>3534400</c:v>
                </c:pt>
                <c:pt idx="1">
                  <c:v>2661400</c:v>
                </c:pt>
                <c:pt idx="2">
                  <c:v>2870600</c:v>
                </c:pt>
                <c:pt idx="3">
                  <c:v>3878100</c:v>
                </c:pt>
              </c:numCache>
            </c:numRef>
          </c:val>
        </c:ser>
        <c:dLbls>
          <c:showLegendKey val="0"/>
          <c:showVal val="1"/>
          <c:showCatName val="0"/>
          <c:showSerName val="0"/>
          <c:showPercent val="0"/>
          <c:showBubbleSize val="0"/>
          <c:showLeaderLines val="1"/>
        </c:dLbls>
        <c:firstSliceAng val="0"/>
        <c:holeSize val="50"/>
      </c:doughnutChart>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Table!PivotTable2</c:name>
    <c:fmtId val="0"/>
  </c:pivotSource>
  <c:chart>
    <c:autoTitleDeleted val="1"/>
    <c:pivotFmts>
      <c:pivotFmt>
        <c:idx val="0"/>
        <c:marker>
          <c:symbol val="none"/>
        </c:marker>
        <c:dLbl>
          <c:idx val="0"/>
          <c:delete val="1"/>
        </c:dLbl>
      </c:pivotFmt>
      <c:pivotFmt>
        <c:idx val="1"/>
        <c:dLbl>
          <c:idx val="0"/>
          <c:layout/>
          <c:dLblPos val="outEnd"/>
          <c:showLegendKey val="0"/>
          <c:showVal val="1"/>
          <c:showCatName val="0"/>
          <c:showSerName val="0"/>
          <c:showPercent val="0"/>
          <c:showBubbleSize val="0"/>
        </c:dLbl>
      </c:pivotFmt>
      <c:pivotFmt>
        <c:idx val="2"/>
        <c:dLbl>
          <c:idx val="0"/>
          <c:layout/>
          <c:dLblPos val="outEnd"/>
          <c:showLegendKey val="0"/>
          <c:showVal val="1"/>
          <c:showCatName val="0"/>
          <c:showSerName val="0"/>
          <c:showPercent val="0"/>
          <c:showBubbleSize val="0"/>
        </c:dLbl>
      </c:pivotFmt>
      <c:pivotFmt>
        <c:idx val="3"/>
        <c:dLbl>
          <c:idx val="0"/>
          <c:layout/>
          <c:dLblPos val="outEnd"/>
          <c:showLegendKey val="0"/>
          <c:showVal val="1"/>
          <c:showCatName val="0"/>
          <c:showSerName val="0"/>
          <c:showPercent val="0"/>
          <c:showBubbleSize val="0"/>
        </c:dLbl>
      </c:pivotFmt>
      <c:pivotFmt>
        <c:idx val="4"/>
        <c:dLbl>
          <c:idx val="0"/>
          <c:layout/>
          <c:dLblPos val="outEnd"/>
          <c:showLegendKey val="0"/>
          <c:showVal val="1"/>
          <c:showCatName val="0"/>
          <c:showSerName val="0"/>
          <c:showPercent val="0"/>
          <c:showBubbleSize val="0"/>
        </c:dLbl>
      </c:pivotFmt>
      <c:pivotFmt>
        <c:idx val="5"/>
        <c:dLbl>
          <c:idx val="0"/>
          <c:layout/>
          <c:dLblPos val="outEnd"/>
          <c:showLegendKey val="0"/>
          <c:showVal val="1"/>
          <c:showCatName val="0"/>
          <c:showSerName val="0"/>
          <c:showPercent val="0"/>
          <c:showBubbleSize val="0"/>
        </c:dLbl>
      </c:pivotFmt>
      <c:pivotFmt>
        <c:idx val="6"/>
        <c:dLbl>
          <c:idx val="0"/>
          <c:layout/>
          <c:dLblPos val="outEnd"/>
          <c:showLegendKey val="0"/>
          <c:showVal val="1"/>
          <c:showCatName val="0"/>
          <c:showSerName val="0"/>
          <c:showPercent val="0"/>
          <c:showBubbleSize val="0"/>
        </c:dLbl>
      </c:pivotFmt>
      <c:pivotFmt>
        <c:idx val="7"/>
        <c:dLbl>
          <c:idx val="0"/>
          <c:layout/>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 Table'!$E$3</c:f>
              <c:strCache>
                <c:ptCount val="1"/>
                <c:pt idx="0">
                  <c:v>Total</c:v>
                </c:pt>
              </c:strCache>
            </c:strRef>
          </c:tx>
          <c:invertIfNegative val="0"/>
          <c:dLbls>
            <c:dLbl>
              <c:idx val="0"/>
              <c:layout/>
              <c:dLblPos val="outEnd"/>
              <c:showLegendKey val="0"/>
              <c:showVal val="1"/>
              <c:showCatName val="0"/>
              <c:showSerName val="0"/>
              <c:showPercent val="0"/>
              <c:showBubbleSize val="0"/>
            </c:dLbl>
            <c:dLbl>
              <c:idx val="1"/>
              <c:layout/>
              <c:dLblPos val="outEnd"/>
              <c:showLegendKey val="0"/>
              <c:showVal val="1"/>
              <c:showCatName val="0"/>
              <c:showSerName val="0"/>
              <c:showPercent val="0"/>
              <c:showBubbleSize val="0"/>
            </c:dLbl>
            <c:dLbl>
              <c:idx val="2"/>
              <c:layout/>
              <c:dLblPos val="outEnd"/>
              <c:showLegendKey val="0"/>
              <c:showVal val="1"/>
              <c:showCatName val="0"/>
              <c:showSerName val="0"/>
              <c:showPercent val="0"/>
              <c:showBubbleSize val="0"/>
            </c:dLbl>
            <c:dLbl>
              <c:idx val="3"/>
              <c:layout/>
              <c:dLblPos val="outEnd"/>
              <c:showLegendKey val="0"/>
              <c:showVal val="1"/>
              <c:showCatName val="0"/>
              <c:showSerName val="0"/>
              <c:showPercent val="0"/>
              <c:showBubbleSize val="0"/>
            </c:dLbl>
            <c:dLbl>
              <c:idx val="4"/>
              <c:layout/>
              <c:dLblPos val="outEnd"/>
              <c:showLegendKey val="0"/>
              <c:showVal val="1"/>
              <c:showCatName val="0"/>
              <c:showSerName val="0"/>
              <c:showPercent val="0"/>
              <c:showBubbleSize val="0"/>
            </c:dLbl>
            <c:dLbl>
              <c:idx val="5"/>
              <c:layout/>
              <c:dLblPos val="outEnd"/>
              <c:showLegendKey val="0"/>
              <c:showVal val="1"/>
              <c:showCatName val="0"/>
              <c:showSerName val="0"/>
              <c:showPercent val="0"/>
              <c:showBubbleSize val="0"/>
            </c:dLbl>
            <c:dLbl>
              <c:idx val="6"/>
              <c:layout/>
              <c:dLblPos val="outEnd"/>
              <c:showLegendKey val="0"/>
              <c:showVal val="1"/>
              <c:showCatName val="0"/>
              <c:showSerName val="0"/>
              <c:showPercent val="0"/>
              <c:showBubbleSize val="0"/>
            </c:dLbl>
            <c:spPr/>
            <c:txPr>
              <a:bodyPr/>
              <a:lstStyle/>
              <a:p>
                <a:pPr>
                  <a:defRPr sz="900" b="1"/>
                </a:pPr>
                <a:endParaRPr lang="en-US"/>
              </a:p>
            </c:txPr>
            <c:dLblPos val="outEnd"/>
            <c:showLegendKey val="0"/>
            <c:showVal val="0"/>
            <c:showCatName val="0"/>
            <c:showSerName val="0"/>
            <c:showPercent val="0"/>
            <c:showBubbleSize val="0"/>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 #,##0.00,," L"</c:formatCode>
                <c:ptCount val="7"/>
                <c:pt idx="0">
                  <c:v>547200</c:v>
                </c:pt>
                <c:pt idx="1">
                  <c:v>2222500</c:v>
                </c:pt>
                <c:pt idx="2">
                  <c:v>706800</c:v>
                </c:pt>
                <c:pt idx="3">
                  <c:v>898000</c:v>
                </c:pt>
                <c:pt idx="4">
                  <c:v>2350000</c:v>
                </c:pt>
                <c:pt idx="5">
                  <c:v>3196000</c:v>
                </c:pt>
                <c:pt idx="6">
                  <c:v>3024000</c:v>
                </c:pt>
              </c:numCache>
            </c:numRef>
          </c:val>
        </c:ser>
        <c:dLbls>
          <c:showLegendKey val="0"/>
          <c:showVal val="0"/>
          <c:showCatName val="0"/>
          <c:showSerName val="0"/>
          <c:showPercent val="0"/>
          <c:showBubbleSize val="0"/>
        </c:dLbls>
        <c:gapWidth val="78"/>
        <c:axId val="41040128"/>
        <c:axId val="41041920"/>
      </c:barChart>
      <c:catAx>
        <c:axId val="41040128"/>
        <c:scaling>
          <c:orientation val="minMax"/>
        </c:scaling>
        <c:delete val="0"/>
        <c:axPos val="l"/>
        <c:majorTickMark val="out"/>
        <c:minorTickMark val="none"/>
        <c:tickLblPos val="nextTo"/>
        <c:crossAx val="41041920"/>
        <c:crosses val="autoZero"/>
        <c:auto val="1"/>
        <c:lblAlgn val="ctr"/>
        <c:lblOffset val="100"/>
        <c:noMultiLvlLbl val="0"/>
      </c:catAx>
      <c:valAx>
        <c:axId val="41041920"/>
        <c:scaling>
          <c:orientation val="minMax"/>
        </c:scaling>
        <c:delete val="1"/>
        <c:axPos val="b"/>
        <c:numFmt formatCode="&quot;₹&quot;\ #,##0.00,,&quot; L&quot;" sourceLinked="1"/>
        <c:majorTickMark val="out"/>
        <c:minorTickMark val="none"/>
        <c:tickLblPos val="nextTo"/>
        <c:crossAx val="41040128"/>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Table!PivotTable3</c:name>
    <c:fmtId val="0"/>
  </c:pivotSource>
  <c:chart>
    <c:autoTitleDeleted val="1"/>
    <c:pivotFmts>
      <c:pivotFmt>
        <c:idx val="0"/>
        <c:marker>
          <c:symbol val="none"/>
        </c:marker>
        <c:dLbl>
          <c:idx val="0"/>
          <c:layout/>
          <c:spPr/>
          <c:txPr>
            <a:bodyPr/>
            <a:lstStyle/>
            <a:p>
              <a:pPr>
                <a:defRPr sz="900" b="1"/>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Table'!$H$3</c:f>
              <c:strCache>
                <c:ptCount val="1"/>
                <c:pt idx="0">
                  <c:v>Total</c:v>
                </c:pt>
              </c:strCache>
            </c:strRef>
          </c:tx>
          <c:invertIfNegative val="0"/>
          <c:dLbls>
            <c:spPr/>
            <c:txPr>
              <a:bodyPr/>
              <a:lstStyle/>
              <a:p>
                <a:pPr>
                  <a:defRPr sz="900" b="1"/>
                </a:pPr>
                <a:endParaRPr lang="en-US"/>
              </a:p>
            </c:txPr>
            <c:dLblPos val="outEnd"/>
            <c:showLegendKey val="0"/>
            <c:showVal val="1"/>
            <c:showCatName val="0"/>
            <c:showSerName val="0"/>
            <c:showPercent val="0"/>
            <c:showBubbleSize val="0"/>
            <c:showLeaderLines val="0"/>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 #,##0.00,,"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ser>
        <c:dLbls>
          <c:showLegendKey val="0"/>
          <c:showVal val="0"/>
          <c:showCatName val="0"/>
          <c:showSerName val="0"/>
          <c:showPercent val="0"/>
          <c:showBubbleSize val="0"/>
        </c:dLbls>
        <c:gapWidth val="70"/>
        <c:axId val="210576512"/>
        <c:axId val="210578048"/>
      </c:barChart>
      <c:catAx>
        <c:axId val="210576512"/>
        <c:scaling>
          <c:orientation val="minMax"/>
        </c:scaling>
        <c:delete val="0"/>
        <c:axPos val="b"/>
        <c:majorTickMark val="out"/>
        <c:minorTickMark val="none"/>
        <c:tickLblPos val="nextTo"/>
        <c:crossAx val="210578048"/>
        <c:crosses val="autoZero"/>
        <c:auto val="1"/>
        <c:lblAlgn val="ctr"/>
        <c:lblOffset val="100"/>
        <c:noMultiLvlLbl val="0"/>
      </c:catAx>
      <c:valAx>
        <c:axId val="210578048"/>
        <c:scaling>
          <c:orientation val="minMax"/>
        </c:scaling>
        <c:delete val="0"/>
        <c:axPos val="l"/>
        <c:numFmt formatCode="&quot;₹&quot;\ #,##0.00,,&quot; L&quot;" sourceLinked="1"/>
        <c:majorTickMark val="out"/>
        <c:minorTickMark val="none"/>
        <c:tickLblPos val="nextTo"/>
        <c:crossAx val="2105765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Analysis.xlsx]Pivot Table!PivotTable4</c:name>
    <c:fmtId val="0"/>
  </c:pivotSource>
  <c:chart>
    <c:autoTitleDeleted val="1"/>
    <c:pivotFmts>
      <c:pivotFmt>
        <c:idx val="0"/>
        <c:marker>
          <c:symbol val="none"/>
        </c:marker>
        <c:dLbl>
          <c:idx val="0"/>
          <c:layout/>
          <c:spPr/>
          <c:txPr>
            <a:bodyPr/>
            <a:lstStyle/>
            <a:p>
              <a:pPr>
                <a:defRPr sz="900" b="1"/>
              </a:pPr>
              <a:endParaRPr lang="en-US"/>
            </a:p>
          </c:txPr>
          <c:dLblPos val="t"/>
          <c:showLegendKey val="0"/>
          <c:showVal val="1"/>
          <c:showCatName val="0"/>
          <c:showSerName val="0"/>
          <c:showPercent val="0"/>
          <c:showBubbleSize val="0"/>
        </c:dLbl>
      </c:pivotFmt>
      <c:pivotFmt>
        <c:idx val="1"/>
        <c:dLbl>
          <c:idx val="0"/>
          <c:layout>
            <c:manualLayout>
              <c:x val="-4.1687664041994747E-2"/>
              <c:y val="-0.11653944298629337"/>
            </c:manualLayout>
          </c:layout>
          <c:dLblPos val="r"/>
          <c:showLegendKey val="0"/>
          <c:showVal val="1"/>
          <c:showCatName val="0"/>
          <c:showSerName val="0"/>
          <c:showPercent val="0"/>
          <c:showBubbleSize val="0"/>
        </c:dLbl>
      </c:pivotFmt>
    </c:pivotFmts>
    <c:plotArea>
      <c:layout/>
      <c:lineChart>
        <c:grouping val="standard"/>
        <c:varyColors val="0"/>
        <c:ser>
          <c:idx val="0"/>
          <c:order val="0"/>
          <c:tx>
            <c:strRef>
              <c:f>'Pivot Table'!$K$3</c:f>
              <c:strCache>
                <c:ptCount val="1"/>
                <c:pt idx="0">
                  <c:v>Total</c:v>
                </c:pt>
              </c:strCache>
            </c:strRef>
          </c:tx>
          <c:marker>
            <c:symbol val="none"/>
          </c:marker>
          <c:dLbls>
            <c:dLbl>
              <c:idx val="4"/>
              <c:layout>
                <c:manualLayout>
                  <c:x val="-4.1687664041994747E-2"/>
                  <c:y val="-0.11653944298629337"/>
                </c:manualLayout>
              </c:layout>
              <c:dLblPos val="r"/>
              <c:showLegendKey val="0"/>
              <c:showVal val="1"/>
              <c:showCatName val="0"/>
              <c:showSerName val="0"/>
              <c:showPercent val="0"/>
              <c:showBubbleSize val="0"/>
            </c:dLbl>
            <c:spPr/>
            <c:txPr>
              <a:bodyPr/>
              <a:lstStyle/>
              <a:p>
                <a:pPr>
                  <a:defRPr sz="900" b="1"/>
                </a:pPr>
                <a:endParaRPr lang="en-US"/>
              </a:p>
            </c:txPr>
            <c:dLblPos val="t"/>
            <c:showLegendKey val="0"/>
            <c:showVal val="1"/>
            <c:showCatName val="0"/>
            <c:showSerName val="0"/>
            <c:showPercent val="0"/>
            <c:showBubbleSize val="0"/>
            <c:showLeaderLines val="0"/>
          </c:dLbls>
          <c:cat>
            <c:strRef>
              <c:f>'Pivot Table'!$J$4:$J$11</c:f>
              <c:strCache>
                <c:ptCount val="7"/>
                <c:pt idx="0">
                  <c:v>Action Figure</c:v>
                </c:pt>
                <c:pt idx="1">
                  <c:v>Blender</c:v>
                </c:pt>
                <c:pt idx="2">
                  <c:v>Moisturizer</c:v>
                </c:pt>
                <c:pt idx="3">
                  <c:v>Novel</c:v>
                </c:pt>
                <c:pt idx="4">
                  <c:v>Smartphone</c:v>
                </c:pt>
                <c:pt idx="5">
                  <c:v>Sneakers</c:v>
                </c:pt>
                <c:pt idx="6">
                  <c:v>Tent</c:v>
                </c:pt>
              </c:strCache>
            </c:strRef>
          </c:cat>
          <c:val>
            <c:numRef>
              <c:f>'Pivot Table'!$K$4:$K$11</c:f>
              <c:numCache>
                <c:formatCode>General</c:formatCode>
                <c:ptCount val="7"/>
                <c:pt idx="0">
                  <c:v>456</c:v>
                </c:pt>
                <c:pt idx="1">
                  <c:v>635</c:v>
                </c:pt>
                <c:pt idx="2">
                  <c:v>1178</c:v>
                </c:pt>
                <c:pt idx="3">
                  <c:v>898</c:v>
                </c:pt>
                <c:pt idx="4">
                  <c:v>235</c:v>
                </c:pt>
                <c:pt idx="5">
                  <c:v>799</c:v>
                </c:pt>
                <c:pt idx="6">
                  <c:v>504</c:v>
                </c:pt>
              </c:numCache>
            </c:numRef>
          </c:val>
          <c:smooth val="0"/>
        </c:ser>
        <c:dLbls>
          <c:showLegendKey val="0"/>
          <c:showVal val="0"/>
          <c:showCatName val="0"/>
          <c:showSerName val="0"/>
          <c:showPercent val="0"/>
          <c:showBubbleSize val="0"/>
        </c:dLbls>
        <c:marker val="1"/>
        <c:smooth val="0"/>
        <c:axId val="213631744"/>
        <c:axId val="213633280"/>
      </c:lineChart>
      <c:catAx>
        <c:axId val="213631744"/>
        <c:scaling>
          <c:orientation val="minMax"/>
        </c:scaling>
        <c:delete val="0"/>
        <c:axPos val="b"/>
        <c:majorTickMark val="out"/>
        <c:minorTickMark val="none"/>
        <c:tickLblPos val="nextTo"/>
        <c:crossAx val="213633280"/>
        <c:crosses val="autoZero"/>
        <c:auto val="1"/>
        <c:lblAlgn val="ctr"/>
        <c:lblOffset val="100"/>
        <c:noMultiLvlLbl val="0"/>
      </c:catAx>
      <c:valAx>
        <c:axId val="213633280"/>
        <c:scaling>
          <c:orientation val="minMax"/>
        </c:scaling>
        <c:delete val="0"/>
        <c:axPos val="l"/>
        <c:numFmt formatCode="General" sourceLinked="1"/>
        <c:majorTickMark val="out"/>
        <c:minorTickMark val="none"/>
        <c:tickLblPos val="nextTo"/>
        <c:crossAx val="2136317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4.pn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52400</xdr:colOff>
      <xdr:row>4</xdr:row>
      <xdr:rowOff>124000</xdr:rowOff>
    </xdr:to>
    <xdr:sp macro="" textlink="">
      <xdr:nvSpPr>
        <xdr:cNvPr id="4" name="Rounded Rectangle 3"/>
        <xdr:cNvSpPr/>
      </xdr:nvSpPr>
      <xdr:spPr>
        <a:xfrm>
          <a:off x="0" y="0"/>
          <a:ext cx="12600000" cy="83520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0</xdr:col>
      <xdr:colOff>0</xdr:colOff>
      <xdr:row>5</xdr:row>
      <xdr:rowOff>107950</xdr:rowOff>
    </xdr:from>
    <xdr:to>
      <xdr:col>3</xdr:col>
      <xdr:colOff>286800</xdr:colOff>
      <xdr:row>10</xdr:row>
      <xdr:rowOff>54150</xdr:rowOff>
    </xdr:to>
    <xdr:grpSp>
      <xdr:nvGrpSpPr>
        <xdr:cNvPr id="11" name="Group 10"/>
        <xdr:cNvGrpSpPr/>
      </xdr:nvGrpSpPr>
      <xdr:grpSpPr>
        <a:xfrm>
          <a:off x="0" y="996950"/>
          <a:ext cx="2268000" cy="835200"/>
          <a:chOff x="0" y="996950"/>
          <a:chExt cx="2268000" cy="835200"/>
        </a:xfrm>
      </xdr:grpSpPr>
      <xdr:sp macro="" textlink="">
        <xdr:nvSpPr>
          <xdr:cNvPr id="5" name="Rounded Rectangle 4"/>
          <xdr:cNvSpPr/>
        </xdr:nvSpPr>
        <xdr:spPr>
          <a:xfrm>
            <a:off x="0" y="996950"/>
            <a:ext cx="2268000" cy="83520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7" name="Rounded Rectangle 6"/>
          <xdr:cNvSpPr/>
        </xdr:nvSpPr>
        <xdr:spPr>
          <a:xfrm>
            <a:off x="25400" y="1009650"/>
            <a:ext cx="596900" cy="806450"/>
          </a:xfrm>
          <a:prstGeom prst="roundRect">
            <a:avLst/>
          </a:prstGeom>
          <a:solidFill>
            <a:schemeClr val="accent2"/>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8" name="TextBox 7"/>
          <xdr:cNvSpPr txBox="1"/>
        </xdr:nvSpPr>
        <xdr:spPr>
          <a:xfrm>
            <a:off x="800100" y="1168400"/>
            <a:ext cx="12255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rPr>
              <a:t>TOTAL</a:t>
            </a:r>
            <a:r>
              <a:rPr lang="en-IN" sz="1100" b="1" baseline="0">
                <a:solidFill>
                  <a:schemeClr val="accent1">
                    <a:lumMod val="75000"/>
                  </a:schemeClr>
                </a:solidFill>
              </a:rPr>
              <a:t> SALES</a:t>
            </a:r>
            <a:endParaRPr lang="en-IN" sz="1050" b="1">
              <a:solidFill>
                <a:schemeClr val="accent1">
                  <a:lumMod val="75000"/>
                </a:schemeClr>
              </a:solidFill>
            </a:endParaRPr>
          </a:p>
        </xdr:txBody>
      </xdr:sp>
      <xdr:sp macro="" textlink="SalesData!K2">
        <xdr:nvSpPr>
          <xdr:cNvPr id="10" name="TextBox 9"/>
          <xdr:cNvSpPr txBox="1"/>
        </xdr:nvSpPr>
        <xdr:spPr>
          <a:xfrm>
            <a:off x="768350" y="1435100"/>
            <a:ext cx="12509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B86BD1-F169-4B42-BF85-6AF01ADF32A4}" type="TxLink">
              <a:rPr lang="en-IN" sz="1100" b="1">
                <a:ln>
                  <a:noFill/>
                </a:ln>
                <a:solidFill>
                  <a:schemeClr val="accent1">
                    <a:lumMod val="75000"/>
                  </a:schemeClr>
                </a:solidFill>
              </a:rPr>
              <a:t> Rs. 1,29,44,500 </a:t>
            </a:fld>
            <a:endParaRPr lang="en-IN" sz="1100" b="1">
              <a:ln>
                <a:noFill/>
              </a:ln>
              <a:solidFill>
                <a:schemeClr val="accent1">
                  <a:lumMod val="75000"/>
                </a:schemeClr>
              </a:solidFill>
            </a:endParaRPr>
          </a:p>
        </xdr:txBody>
      </xdr:sp>
    </xdr:grpSp>
    <xdr:clientData/>
  </xdr:twoCellAnchor>
  <xdr:twoCellAnchor>
    <xdr:from>
      <xdr:col>3</xdr:col>
      <xdr:colOff>463550</xdr:colOff>
      <xdr:row>5</xdr:row>
      <xdr:rowOff>107950</xdr:rowOff>
    </xdr:from>
    <xdr:to>
      <xdr:col>7</xdr:col>
      <xdr:colOff>89950</xdr:colOff>
      <xdr:row>10</xdr:row>
      <xdr:rowOff>54150</xdr:rowOff>
    </xdr:to>
    <xdr:grpSp>
      <xdr:nvGrpSpPr>
        <xdr:cNvPr id="12" name="Group 11"/>
        <xdr:cNvGrpSpPr/>
      </xdr:nvGrpSpPr>
      <xdr:grpSpPr>
        <a:xfrm>
          <a:off x="2444750" y="996950"/>
          <a:ext cx="2268000" cy="835200"/>
          <a:chOff x="0" y="996950"/>
          <a:chExt cx="2268000" cy="835200"/>
        </a:xfrm>
      </xdr:grpSpPr>
      <xdr:sp macro="" textlink="">
        <xdr:nvSpPr>
          <xdr:cNvPr id="13" name="Rounded Rectangle 12"/>
          <xdr:cNvSpPr/>
        </xdr:nvSpPr>
        <xdr:spPr>
          <a:xfrm>
            <a:off x="0" y="996950"/>
            <a:ext cx="2268000" cy="83520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14" name="Rounded Rectangle 13"/>
          <xdr:cNvSpPr/>
        </xdr:nvSpPr>
        <xdr:spPr>
          <a:xfrm>
            <a:off x="25400" y="1009650"/>
            <a:ext cx="596900" cy="806450"/>
          </a:xfrm>
          <a:prstGeom prst="roundRect">
            <a:avLst/>
          </a:prstGeom>
          <a:solidFill>
            <a:schemeClr val="accent2"/>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15" name="TextBox 14"/>
          <xdr:cNvSpPr txBox="1"/>
        </xdr:nvSpPr>
        <xdr:spPr>
          <a:xfrm>
            <a:off x="800100" y="1168400"/>
            <a:ext cx="13462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accent1">
                    <a:lumMod val="75000"/>
                  </a:schemeClr>
                </a:solidFill>
              </a:rPr>
              <a:t>AVERAGE SALES</a:t>
            </a:r>
          </a:p>
        </xdr:txBody>
      </xdr:sp>
      <xdr:sp macro="" textlink="SalesData!K8">
        <xdr:nvSpPr>
          <xdr:cNvPr id="16" name="TextBox 15"/>
          <xdr:cNvSpPr txBox="1"/>
        </xdr:nvSpPr>
        <xdr:spPr>
          <a:xfrm>
            <a:off x="768350" y="1435100"/>
            <a:ext cx="12509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80ED4-03E5-4C6A-933E-E0C5F8F0ACEF}" type="TxLink">
              <a:rPr lang="en-IN" sz="1100" b="1">
                <a:ln>
                  <a:noFill/>
                </a:ln>
                <a:solidFill>
                  <a:schemeClr val="accent1">
                    <a:lumMod val="75000"/>
                  </a:schemeClr>
                </a:solidFill>
              </a:rPr>
              <a:t> Rs. 1,29,44,500 </a:t>
            </a:fld>
            <a:endParaRPr lang="en-IN" sz="1100" b="1">
              <a:ln>
                <a:noFill/>
              </a:ln>
              <a:solidFill>
                <a:schemeClr val="accent1">
                  <a:lumMod val="75000"/>
                </a:schemeClr>
              </a:solidFill>
            </a:endParaRPr>
          </a:p>
        </xdr:txBody>
      </xdr:sp>
    </xdr:grpSp>
    <xdr:clientData/>
  </xdr:twoCellAnchor>
  <xdr:twoCellAnchor>
    <xdr:from>
      <xdr:col>7</xdr:col>
      <xdr:colOff>254000</xdr:colOff>
      <xdr:row>5</xdr:row>
      <xdr:rowOff>107950</xdr:rowOff>
    </xdr:from>
    <xdr:to>
      <xdr:col>10</xdr:col>
      <xdr:colOff>540800</xdr:colOff>
      <xdr:row>10</xdr:row>
      <xdr:rowOff>54150</xdr:rowOff>
    </xdr:to>
    <xdr:grpSp>
      <xdr:nvGrpSpPr>
        <xdr:cNvPr id="17" name="Group 16"/>
        <xdr:cNvGrpSpPr/>
      </xdr:nvGrpSpPr>
      <xdr:grpSpPr>
        <a:xfrm>
          <a:off x="4876800" y="996950"/>
          <a:ext cx="2268000" cy="835200"/>
          <a:chOff x="0" y="996950"/>
          <a:chExt cx="2268000" cy="835200"/>
        </a:xfrm>
      </xdr:grpSpPr>
      <xdr:sp macro="" textlink="">
        <xdr:nvSpPr>
          <xdr:cNvPr id="18" name="Rounded Rectangle 17"/>
          <xdr:cNvSpPr/>
        </xdr:nvSpPr>
        <xdr:spPr>
          <a:xfrm>
            <a:off x="0" y="996950"/>
            <a:ext cx="2268000" cy="83520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19" name="Rounded Rectangle 18"/>
          <xdr:cNvSpPr/>
        </xdr:nvSpPr>
        <xdr:spPr>
          <a:xfrm>
            <a:off x="25400" y="1009650"/>
            <a:ext cx="596900" cy="806450"/>
          </a:xfrm>
          <a:prstGeom prst="roundRect">
            <a:avLst/>
          </a:prstGeom>
          <a:solidFill>
            <a:schemeClr val="accent2"/>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20" name="TextBox 19"/>
          <xdr:cNvSpPr txBox="1"/>
        </xdr:nvSpPr>
        <xdr:spPr>
          <a:xfrm>
            <a:off x="800100" y="1168400"/>
            <a:ext cx="12255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accent1">
                    <a:lumMod val="75000"/>
                  </a:schemeClr>
                </a:solidFill>
              </a:rPr>
              <a:t>UNITS</a:t>
            </a:r>
            <a:r>
              <a:rPr lang="en-IN" sz="1050" b="1" baseline="0">
                <a:solidFill>
                  <a:schemeClr val="accent1">
                    <a:lumMod val="75000"/>
                  </a:schemeClr>
                </a:solidFill>
              </a:rPr>
              <a:t> SOLD</a:t>
            </a:r>
            <a:endParaRPr lang="en-IN" sz="1050" b="1">
              <a:solidFill>
                <a:schemeClr val="accent1">
                  <a:lumMod val="75000"/>
                </a:schemeClr>
              </a:solidFill>
            </a:endParaRPr>
          </a:p>
        </xdr:txBody>
      </xdr:sp>
      <xdr:sp macro="" textlink="SalesData!K4">
        <xdr:nvSpPr>
          <xdr:cNvPr id="21" name="TextBox 20"/>
          <xdr:cNvSpPr txBox="1"/>
        </xdr:nvSpPr>
        <xdr:spPr>
          <a:xfrm>
            <a:off x="977900" y="1422400"/>
            <a:ext cx="12509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F6165C-57E2-44E3-91A3-F0991F8A72F0}" type="TxLink">
              <a:rPr lang="en-IN" sz="1100" b="1">
                <a:ln>
                  <a:noFill/>
                </a:ln>
                <a:solidFill>
                  <a:schemeClr val="accent1">
                    <a:lumMod val="75000"/>
                  </a:schemeClr>
                </a:solidFill>
              </a:rPr>
              <a:t>4705</a:t>
            </a:fld>
            <a:endParaRPr lang="en-IN" sz="1100" b="1">
              <a:ln>
                <a:noFill/>
              </a:ln>
              <a:solidFill>
                <a:schemeClr val="accent1">
                  <a:lumMod val="75000"/>
                </a:schemeClr>
              </a:solidFill>
            </a:endParaRPr>
          </a:p>
        </xdr:txBody>
      </xdr:sp>
    </xdr:grpSp>
    <xdr:clientData/>
  </xdr:twoCellAnchor>
  <xdr:twoCellAnchor>
    <xdr:from>
      <xdr:col>11</xdr:col>
      <xdr:colOff>38100</xdr:colOff>
      <xdr:row>5</xdr:row>
      <xdr:rowOff>107950</xdr:rowOff>
    </xdr:from>
    <xdr:to>
      <xdr:col>14</xdr:col>
      <xdr:colOff>324900</xdr:colOff>
      <xdr:row>10</xdr:row>
      <xdr:rowOff>54150</xdr:rowOff>
    </xdr:to>
    <xdr:grpSp>
      <xdr:nvGrpSpPr>
        <xdr:cNvPr id="22" name="Group 21"/>
        <xdr:cNvGrpSpPr/>
      </xdr:nvGrpSpPr>
      <xdr:grpSpPr>
        <a:xfrm>
          <a:off x="7302500" y="996950"/>
          <a:ext cx="2268000" cy="835200"/>
          <a:chOff x="0" y="996950"/>
          <a:chExt cx="2268000" cy="835200"/>
        </a:xfrm>
      </xdr:grpSpPr>
      <xdr:sp macro="" textlink="">
        <xdr:nvSpPr>
          <xdr:cNvPr id="23" name="Rounded Rectangle 22"/>
          <xdr:cNvSpPr/>
        </xdr:nvSpPr>
        <xdr:spPr>
          <a:xfrm>
            <a:off x="0" y="996950"/>
            <a:ext cx="2268000" cy="83520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24" name="Rounded Rectangle 23"/>
          <xdr:cNvSpPr/>
        </xdr:nvSpPr>
        <xdr:spPr>
          <a:xfrm>
            <a:off x="25400" y="1009650"/>
            <a:ext cx="596900" cy="806450"/>
          </a:xfrm>
          <a:prstGeom prst="roundRect">
            <a:avLst/>
          </a:prstGeom>
          <a:solidFill>
            <a:schemeClr val="accent2"/>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sp macro="" textlink="">
        <xdr:nvSpPr>
          <xdr:cNvPr id="25" name="TextBox 24"/>
          <xdr:cNvSpPr txBox="1"/>
        </xdr:nvSpPr>
        <xdr:spPr>
          <a:xfrm>
            <a:off x="800100" y="1168400"/>
            <a:ext cx="12255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rPr>
              <a:t>PROFIT</a:t>
            </a:r>
          </a:p>
        </xdr:txBody>
      </xdr:sp>
      <xdr:sp macro="" textlink="SalesData!K6">
        <xdr:nvSpPr>
          <xdr:cNvPr id="26" name="TextBox 25"/>
          <xdr:cNvSpPr txBox="1"/>
        </xdr:nvSpPr>
        <xdr:spPr>
          <a:xfrm>
            <a:off x="920750" y="1428750"/>
            <a:ext cx="12509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A4583A-BA65-495D-8B29-FEDA3B1A1B75}" type="TxLink">
              <a:rPr lang="en-IN" sz="1100" b="1">
                <a:ln>
                  <a:noFill/>
                </a:ln>
                <a:solidFill>
                  <a:schemeClr val="accent1">
                    <a:lumMod val="75000"/>
                  </a:schemeClr>
                </a:solidFill>
              </a:rPr>
              <a:t> Rs. 38,34,400 </a:t>
            </a:fld>
            <a:endParaRPr lang="en-IN" sz="1100" b="1">
              <a:ln>
                <a:noFill/>
              </a:ln>
              <a:solidFill>
                <a:schemeClr val="accent1">
                  <a:lumMod val="75000"/>
                </a:schemeClr>
              </a:solidFill>
            </a:endParaRPr>
          </a:p>
        </xdr:txBody>
      </xdr:sp>
    </xdr:grpSp>
    <xdr:clientData/>
  </xdr:twoCellAnchor>
  <xdr:twoCellAnchor editAs="oneCell">
    <xdr:from>
      <xdr:col>0</xdr:col>
      <xdr:colOff>88901</xdr:colOff>
      <xdr:row>6</xdr:row>
      <xdr:rowOff>146049</xdr:rowOff>
    </xdr:from>
    <xdr:to>
      <xdr:col>0</xdr:col>
      <xdr:colOff>559952</xdr:colOff>
      <xdr:row>9</xdr:row>
      <xdr:rowOff>83700</xdr:rowOff>
    </xdr:to>
    <xdr:pic>
      <xdr:nvPicPr>
        <xdr:cNvPr id="27" name="Picture 26"/>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BEBA8EAE-BF5A-486C-A8C5-ECC9F3942E4B}">
              <a14:imgProps xmlns:a14="http://schemas.microsoft.com/office/drawing/2010/main">
                <a14:imgLayer r:embed="rId2">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88901" y="1212849"/>
          <a:ext cx="471051" cy="471051"/>
        </a:xfrm>
        <a:prstGeom prst="rect">
          <a:avLst/>
        </a:prstGeom>
      </xdr:spPr>
    </xdr:pic>
    <xdr:clientData/>
  </xdr:twoCellAnchor>
  <xdr:twoCellAnchor editAs="oneCell">
    <xdr:from>
      <xdr:col>3</xdr:col>
      <xdr:colOff>577850</xdr:colOff>
      <xdr:row>6</xdr:row>
      <xdr:rowOff>69850</xdr:rowOff>
    </xdr:from>
    <xdr:to>
      <xdr:col>4</xdr:col>
      <xdr:colOff>386950</xdr:colOff>
      <xdr:row>9</xdr:row>
      <xdr:rowOff>88500</xdr:rowOff>
    </xdr:to>
    <xdr:pic>
      <xdr:nvPicPr>
        <xdr:cNvPr id="28" name="Picture 27"/>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559050" y="1136650"/>
          <a:ext cx="469500" cy="552050"/>
        </a:xfrm>
        <a:prstGeom prst="rect">
          <a:avLst/>
        </a:prstGeom>
      </xdr:spPr>
    </xdr:pic>
    <xdr:clientData/>
  </xdr:twoCellAnchor>
  <xdr:twoCellAnchor editAs="oneCell">
    <xdr:from>
      <xdr:col>7</xdr:col>
      <xdr:colOff>381000</xdr:colOff>
      <xdr:row>6</xdr:row>
      <xdr:rowOff>133350</xdr:rowOff>
    </xdr:from>
    <xdr:to>
      <xdr:col>8</xdr:col>
      <xdr:colOff>139090</xdr:colOff>
      <xdr:row>9</xdr:row>
      <xdr:rowOff>50190</xdr:rowOff>
    </xdr:to>
    <xdr:pic>
      <xdr:nvPicPr>
        <xdr:cNvPr id="29" name="Picture 28"/>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003800" y="1200150"/>
          <a:ext cx="418490" cy="450240"/>
        </a:xfrm>
        <a:prstGeom prst="rect">
          <a:avLst/>
        </a:prstGeom>
      </xdr:spPr>
    </xdr:pic>
    <xdr:clientData/>
  </xdr:twoCellAnchor>
  <xdr:twoCellAnchor editAs="oneCell">
    <xdr:from>
      <xdr:col>11</xdr:col>
      <xdr:colOff>146050</xdr:colOff>
      <xdr:row>6</xdr:row>
      <xdr:rowOff>132232</xdr:rowOff>
    </xdr:from>
    <xdr:to>
      <xdr:col>11</xdr:col>
      <xdr:colOff>596900</xdr:colOff>
      <xdr:row>9</xdr:row>
      <xdr:rowOff>49682</xdr:rowOff>
    </xdr:to>
    <xdr:pic>
      <xdr:nvPicPr>
        <xdr:cNvPr id="30" name="Picture 29"/>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7410450" y="1199032"/>
          <a:ext cx="450850" cy="450850"/>
        </a:xfrm>
        <a:prstGeom prst="rect">
          <a:avLst/>
        </a:prstGeom>
      </xdr:spPr>
    </xdr:pic>
    <xdr:clientData/>
  </xdr:twoCellAnchor>
  <xdr:twoCellAnchor>
    <xdr:from>
      <xdr:col>6</xdr:col>
      <xdr:colOff>292100</xdr:colOff>
      <xdr:row>0</xdr:row>
      <xdr:rowOff>171450</xdr:rowOff>
    </xdr:from>
    <xdr:to>
      <xdr:col>12</xdr:col>
      <xdr:colOff>25400</xdr:colOff>
      <xdr:row>3</xdr:row>
      <xdr:rowOff>95250</xdr:rowOff>
    </xdr:to>
    <xdr:sp macro="" textlink="">
      <xdr:nvSpPr>
        <xdr:cNvPr id="31" name="TextBox 30"/>
        <xdr:cNvSpPr txBox="1"/>
      </xdr:nvSpPr>
      <xdr:spPr>
        <a:xfrm>
          <a:off x="4254500" y="171450"/>
          <a:ext cx="36957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rPr>
            <a:t>SALES DASHBOARD - 2026</a:t>
          </a:r>
        </a:p>
      </xdr:txBody>
    </xdr:sp>
    <xdr:clientData/>
  </xdr:twoCellAnchor>
  <xdr:twoCellAnchor editAs="oneCell">
    <xdr:from>
      <xdr:col>14</xdr:col>
      <xdr:colOff>565150</xdr:colOff>
      <xdr:row>5</xdr:row>
      <xdr:rowOff>127001</xdr:rowOff>
    </xdr:from>
    <xdr:to>
      <xdr:col>19</xdr:col>
      <xdr:colOff>0</xdr:colOff>
      <xdr:row>9</xdr:row>
      <xdr:rowOff>152401</xdr:rowOff>
    </xdr:to>
    <mc:AlternateContent xmlns:mc="http://schemas.openxmlformats.org/markup-compatibility/2006">
      <mc:Choice xmlns:a14="http://schemas.microsoft.com/office/drawing/2010/main" Requires="a14">
        <xdr:graphicFrame macro="">
          <xdr:nvGraphicFramePr>
            <xdr:cNvPr id="3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810750" y="1016001"/>
              <a:ext cx="2736850" cy="7366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26</xdr:row>
      <xdr:rowOff>51548</xdr:rowOff>
    </xdr:from>
    <xdr:to>
      <xdr:col>2</xdr:col>
      <xdr:colOff>565150</xdr:colOff>
      <xdr:row>43</xdr:row>
      <xdr:rowOff>158750</xdr:rowOff>
    </xdr:to>
    <mc:AlternateContent xmlns:mc="http://schemas.openxmlformats.org/markup-compatibility/2006">
      <mc:Choice xmlns:a14="http://schemas.microsoft.com/office/drawing/2010/main" Requires="a14">
        <xdr:graphicFrame macro="">
          <xdr:nvGraphicFramePr>
            <xdr:cNvPr id="34" name="Sales Person 1"/>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57150" y="4674348"/>
              <a:ext cx="1828800" cy="312980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115795</xdr:colOff>
      <xdr:row>11</xdr:row>
      <xdr:rowOff>44451</xdr:rowOff>
    </xdr:from>
    <xdr:to>
      <xdr:col>2</xdr:col>
      <xdr:colOff>623795</xdr:colOff>
      <xdr:row>24</xdr:row>
      <xdr:rowOff>172504</xdr:rowOff>
    </xdr:to>
    <mc:AlternateContent xmlns:mc="http://schemas.openxmlformats.org/markup-compatibility/2006">
      <mc:Choice xmlns:a14="http://schemas.microsoft.com/office/drawing/2010/main" Requires="a14">
        <xdr:graphicFrame macro="">
          <xdr:nvGraphicFramePr>
            <xdr:cNvPr id="35"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5795" y="2000251"/>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279400</xdr:colOff>
      <xdr:row>10</xdr:row>
      <xdr:rowOff>171450</xdr:rowOff>
    </xdr:from>
    <xdr:to>
      <xdr:col>11</xdr:col>
      <xdr:colOff>152400</xdr:colOff>
      <xdr:row>27</xdr:row>
      <xdr:rowOff>50800</xdr:rowOff>
    </xdr:to>
    <xdr:sp macro="" textlink="">
      <xdr:nvSpPr>
        <xdr:cNvPr id="36" name="Rounded Rectangle 35"/>
        <xdr:cNvSpPr/>
      </xdr:nvSpPr>
      <xdr:spPr>
        <a:xfrm>
          <a:off x="2260600" y="1949450"/>
          <a:ext cx="5156200" cy="290195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UNIT SOLD BY PRODUCTS</a:t>
          </a:r>
        </a:p>
      </xdr:txBody>
    </xdr:sp>
    <xdr:clientData/>
  </xdr:twoCellAnchor>
  <xdr:twoCellAnchor>
    <xdr:from>
      <xdr:col>4</xdr:col>
      <xdr:colOff>184150</xdr:colOff>
      <xdr:row>13</xdr:row>
      <xdr:rowOff>82550</xdr:rowOff>
    </xdr:from>
    <xdr:to>
      <xdr:col>10</xdr:col>
      <xdr:colOff>285750</xdr:colOff>
      <xdr:row>26</xdr:row>
      <xdr:rowOff>76200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349250</xdr:colOff>
      <xdr:row>10</xdr:row>
      <xdr:rowOff>158750</xdr:rowOff>
    </xdr:from>
    <xdr:to>
      <xdr:col>19</xdr:col>
      <xdr:colOff>222250</xdr:colOff>
      <xdr:row>27</xdr:row>
      <xdr:rowOff>38100</xdr:rowOff>
    </xdr:to>
    <xdr:sp macro="" textlink="">
      <xdr:nvSpPr>
        <xdr:cNvPr id="38" name="Rounded Rectangle 37"/>
        <xdr:cNvSpPr/>
      </xdr:nvSpPr>
      <xdr:spPr>
        <a:xfrm>
          <a:off x="7613650" y="1936750"/>
          <a:ext cx="5156200" cy="290195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TOTAL</a:t>
          </a:r>
          <a:r>
            <a:rPr lang="en-IN" sz="1400" b="1" baseline="0">
              <a:solidFill>
                <a:schemeClr val="accent1">
                  <a:lumMod val="75000"/>
                </a:schemeClr>
              </a:solidFill>
            </a:rPr>
            <a:t> SALES BY REGION</a:t>
          </a:r>
          <a:endParaRPr lang="en-IN" sz="1400" b="1">
            <a:solidFill>
              <a:schemeClr val="accent1">
                <a:lumMod val="75000"/>
              </a:schemeClr>
            </a:solidFill>
          </a:endParaRPr>
        </a:p>
      </xdr:txBody>
    </xdr:sp>
    <xdr:clientData/>
  </xdr:twoCellAnchor>
  <xdr:twoCellAnchor>
    <xdr:from>
      <xdr:col>3</xdr:col>
      <xdr:colOff>311150</xdr:colOff>
      <xdr:row>28</xdr:row>
      <xdr:rowOff>0</xdr:rowOff>
    </xdr:from>
    <xdr:to>
      <xdr:col>11</xdr:col>
      <xdr:colOff>184150</xdr:colOff>
      <xdr:row>44</xdr:row>
      <xdr:rowOff>57150</xdr:rowOff>
    </xdr:to>
    <xdr:sp macro="" textlink="">
      <xdr:nvSpPr>
        <xdr:cNvPr id="39" name="Rounded Rectangle 38"/>
        <xdr:cNvSpPr/>
      </xdr:nvSpPr>
      <xdr:spPr>
        <a:xfrm>
          <a:off x="2292350" y="4978400"/>
          <a:ext cx="5156200" cy="290195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TOTAL</a:t>
          </a:r>
          <a:r>
            <a:rPr lang="en-IN" sz="1400" b="1" baseline="0">
              <a:solidFill>
                <a:schemeClr val="accent1">
                  <a:lumMod val="75000"/>
                </a:schemeClr>
              </a:solidFill>
            </a:rPr>
            <a:t> SALES</a:t>
          </a:r>
          <a:r>
            <a:rPr lang="en-IN" sz="1400" b="1">
              <a:solidFill>
                <a:schemeClr val="accent1">
                  <a:lumMod val="75000"/>
                </a:schemeClr>
              </a:solidFill>
            </a:rPr>
            <a:t> BY PRODUCTS</a:t>
          </a:r>
        </a:p>
      </xdr:txBody>
    </xdr:sp>
    <xdr:clientData/>
  </xdr:twoCellAnchor>
  <xdr:twoCellAnchor>
    <xdr:from>
      <xdr:col>11</xdr:col>
      <xdr:colOff>349250</xdr:colOff>
      <xdr:row>27</xdr:row>
      <xdr:rowOff>158750</xdr:rowOff>
    </xdr:from>
    <xdr:to>
      <xdr:col>19</xdr:col>
      <xdr:colOff>222250</xdr:colOff>
      <xdr:row>44</xdr:row>
      <xdr:rowOff>38100</xdr:rowOff>
    </xdr:to>
    <xdr:sp macro="" textlink="">
      <xdr:nvSpPr>
        <xdr:cNvPr id="40" name="Rounded Rectangle 39"/>
        <xdr:cNvSpPr/>
      </xdr:nvSpPr>
      <xdr:spPr>
        <a:xfrm>
          <a:off x="7613650" y="4959350"/>
          <a:ext cx="5156200" cy="2901950"/>
        </a:xfrm>
        <a:prstGeom prst="roundRect">
          <a:avLst/>
        </a:prstGeom>
        <a:solidFill>
          <a:schemeClr val="bg1"/>
        </a:solidFill>
        <a:ln>
          <a:noFill/>
        </a:ln>
        <a:effectLst>
          <a:glow rad="12700">
            <a:schemeClr val="accent1">
              <a:alpha val="40000"/>
            </a:schemeClr>
          </a:glow>
          <a:outerShdw blurRad="50800" dist="38100" dir="2700000" algn="tl" rotWithShape="0">
            <a:prstClr val="black">
              <a:alpha val="40000"/>
            </a:prstClr>
          </a:outerShdw>
          <a:reflection stA="99000" endPos="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TOTAL</a:t>
          </a:r>
          <a:r>
            <a:rPr lang="en-IN" sz="1400" b="1" baseline="0">
              <a:solidFill>
                <a:schemeClr val="accent1">
                  <a:lumMod val="75000"/>
                </a:schemeClr>
              </a:solidFill>
            </a:rPr>
            <a:t> SALES BY SALES PERSON</a:t>
          </a:r>
          <a:endParaRPr lang="en-IN" sz="1400" b="1">
            <a:solidFill>
              <a:schemeClr val="accent1">
                <a:lumMod val="75000"/>
              </a:schemeClr>
            </a:solidFill>
          </a:endParaRPr>
        </a:p>
      </xdr:txBody>
    </xdr:sp>
    <xdr:clientData/>
  </xdr:twoCellAnchor>
  <xdr:twoCellAnchor>
    <xdr:from>
      <xdr:col>12</xdr:col>
      <xdr:colOff>317500</xdr:colOff>
      <xdr:row>14</xdr:row>
      <xdr:rowOff>12700</xdr:rowOff>
    </xdr:from>
    <xdr:to>
      <xdr:col>18</xdr:col>
      <xdr:colOff>247650</xdr:colOff>
      <xdr:row>26</xdr:row>
      <xdr:rowOff>78441</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431799</xdr:colOff>
      <xdr:row>31</xdr:row>
      <xdr:rowOff>19050</xdr:rowOff>
    </xdr:from>
    <xdr:to>
      <xdr:col>9</xdr:col>
      <xdr:colOff>603250</xdr:colOff>
      <xdr:row>43</xdr:row>
      <xdr:rowOff>128123</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298450</xdr:colOff>
      <xdr:row>31</xdr:row>
      <xdr:rowOff>12700</xdr:rowOff>
    </xdr:from>
    <xdr:to>
      <xdr:col>18</xdr:col>
      <xdr:colOff>260350</xdr:colOff>
      <xdr:row>43</xdr:row>
      <xdr:rowOff>88900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6350</xdr:colOff>
      <xdr:row>0</xdr:row>
      <xdr:rowOff>107950</xdr:rowOff>
    </xdr:from>
    <xdr:to>
      <xdr:col>6</xdr:col>
      <xdr:colOff>25404</xdr:colOff>
      <xdr:row>4</xdr:row>
      <xdr:rowOff>76204</xdr:rowOff>
    </xdr:to>
    <xdr:pic>
      <xdr:nvPicPr>
        <xdr:cNvPr id="45" name="Picture 44"/>
        <xdr:cNvPicPr>
          <a:picLocks noChangeAspect="1"/>
        </xdr:cNvPicPr>
      </xdr:nvPicPr>
      <xdr:blipFill>
        <a:blip xmlns:r="http://schemas.openxmlformats.org/officeDocument/2006/relationships" r:embed="rId10"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308350" y="107950"/>
          <a:ext cx="679454" cy="6794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180788</xdr:colOff>
      <xdr:row>31</xdr:row>
      <xdr:rowOff>29882</xdr:rowOff>
    </xdr:from>
    <xdr:to>
      <xdr:col>4</xdr:col>
      <xdr:colOff>1135530</xdr:colOff>
      <xdr:row>47</xdr:row>
      <xdr:rowOff>71717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59765</xdr:colOff>
      <xdr:row>31</xdr:row>
      <xdr:rowOff>59764</xdr:rowOff>
    </xdr:from>
    <xdr:to>
      <xdr:col>10</xdr:col>
      <xdr:colOff>448236</xdr:colOff>
      <xdr:row>47</xdr:row>
      <xdr:rowOff>94131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635000</xdr:colOff>
      <xdr:row>31</xdr:row>
      <xdr:rowOff>115048</xdr:rowOff>
    </xdr:from>
    <xdr:to>
      <xdr:col>17</xdr:col>
      <xdr:colOff>29882</xdr:colOff>
      <xdr:row>46</xdr:row>
      <xdr:rowOff>168837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515471</xdr:colOff>
      <xdr:row>14</xdr:row>
      <xdr:rowOff>159871</xdr:rowOff>
    </xdr:from>
    <xdr:to>
      <xdr:col>12</xdr:col>
      <xdr:colOff>261471</xdr:colOff>
      <xdr:row>30</xdr:row>
      <xdr:rowOff>34365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852020</xdr:colOff>
      <xdr:row>16</xdr:row>
      <xdr:rowOff>17181</xdr:rowOff>
    </xdr:from>
    <xdr:to>
      <xdr:col>2</xdr:col>
      <xdr:colOff>260349</xdr:colOff>
      <xdr:row>29</xdr:row>
      <xdr:rowOff>125811</xdr:rowOff>
    </xdr:to>
    <mc:AlternateContent xmlns:mc="http://schemas.openxmlformats.org/markup-compatibility/2006">
      <mc:Choice xmlns:a14="http://schemas.microsoft.com/office/drawing/2010/main" Requires="a14">
        <xdr:graphicFrame macro="">
          <xdr:nvGraphicFramePr>
            <xdr:cNvPr id="8"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852020" y="2885887"/>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566272</xdr:colOff>
      <xdr:row>19</xdr:row>
      <xdr:rowOff>149786</xdr:rowOff>
    </xdr:from>
    <xdr:to>
      <xdr:col>6</xdr:col>
      <xdr:colOff>370542</xdr:colOff>
      <xdr:row>23</xdr:row>
      <xdr:rowOff>127000</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97507" y="3556374"/>
              <a:ext cx="1828800" cy="69439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295463</xdr:colOff>
      <xdr:row>17</xdr:row>
      <xdr:rowOff>13446</xdr:rowOff>
    </xdr:from>
    <xdr:to>
      <xdr:col>20</xdr:col>
      <xdr:colOff>152028</xdr:colOff>
      <xdr:row>30</xdr:row>
      <xdr:rowOff>122075</xdr:rowOff>
    </xdr:to>
    <mc:AlternateContent xmlns:mc="http://schemas.openxmlformats.org/markup-compatibility/2006">
      <mc:Choice xmlns:a14="http://schemas.microsoft.com/office/drawing/2010/main"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826816" y="3061446"/>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ithika Harikrishnan" refreshedDate="46162.529685648151" createdVersion="4" refreshedVersion="4" minRefreshableVersion="3" recordCount="50">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J3:K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0" numFmtId="165"/>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 count="1" selected="0">
            <x v="0"/>
          </reference>
        </references>
      </pivotArea>
    </chartFormat>
    <chartFormat chart="2" format="18">
      <pivotArea type="data" outline="0" fieldPosition="0">
        <references count="2">
          <reference field="4294967294" count="1" selected="0">
            <x v="0"/>
          </reference>
          <reference field="3" count="1" selected="0">
            <x v="1"/>
          </reference>
        </references>
      </pivotArea>
    </chartFormat>
    <chartFormat chart="2" format="19">
      <pivotArea type="data" outline="0" fieldPosition="0">
        <references count="2">
          <reference field="4294967294" count="1" selected="0">
            <x v="0"/>
          </reference>
          <reference field="3" count="1" selected="0">
            <x v="2"/>
          </reference>
        </references>
      </pivotArea>
    </chartFormat>
    <chartFormat chart="2" format="20">
      <pivotArea type="data" outline="0" fieldPosition="0">
        <references count="2">
          <reference field="4294967294" count="1" selected="0">
            <x v="0"/>
          </reference>
          <reference field="3" count="1" selected="0">
            <x v="3"/>
          </reference>
        </references>
      </pivotArea>
    </chartFormat>
    <chartFormat chart="2" format="21">
      <pivotArea type="data" outline="0" fieldPosition="0">
        <references count="2">
          <reference field="4294967294" count="1" selected="0">
            <x v="0"/>
          </reference>
          <reference field="3" count="1" selected="0">
            <x v="4"/>
          </reference>
        </references>
      </pivotArea>
    </chartFormat>
    <chartFormat chart="2" format="22">
      <pivotArea type="data" outline="0" fieldPosition="0">
        <references count="2">
          <reference field="4294967294" count="1" selected="0">
            <x v="0"/>
          </reference>
          <reference field="3" count="1" selected="0">
            <x v="5"/>
          </reference>
        </references>
      </pivotArea>
    </chartFormat>
    <chartFormat chart="2"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4" name="PivotTable1"/>
    <pivotTable tabId="4" name="PivotTable2"/>
    <pivotTable tabId="4" name="PivotTable3"/>
    <pivotTable tabId="4" name="PivotTable4"/>
  </pivotTables>
  <data>
    <tabular pivotCacheId="1">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 tabId="4" name="PivotTable4"/>
  </pivotTables>
  <data>
    <tabular pivotCacheId="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
    <pivotTable tabId="4" name="PivotTable2"/>
    <pivotTable tabId="4" name="PivotTable3"/>
    <pivotTable tabId="4" name="PivotTable4"/>
  </pivotTables>
  <data>
    <tabular pivotCacheId="1">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1" cache="Slicer_Sales_Person" caption="Sales Person" style="SlicerStyleDark1" rowHeight="230716"/>
  <slicer name="Region 1" cache="Slicer_Region" columnCount="2" showCaption="0" style="SlicerStyleDark1" rowHeight="230716"/>
  <slicer name="Product 1" cache="Slicer_Product" caption="Product"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rowHeight="230716"/>
  <slicer name="Region" cache="Slicer_Region" columnCount="2" showCaption="0" rowHeight="230716"/>
  <slicer name="Product" cache="Slicer_Product" caption="Product" rowHeight="230716"/>
</slicers>
</file>

<file path=xl/tables/table1.xml><?xml version="1.0" encoding="utf-8"?>
<table xmlns="http://schemas.openxmlformats.org/spreadsheetml/2006/main" id="1" name="Table1" displayName="Table1" ref="A1:I51" totalsRowShown="0" headerRowDxfId="0" dataDxfId="1" dataCellStyle="Currency [0]">
  <autoFilter ref="A1:I51"/>
  <tableColumns count="9">
    <tableColumn id="1" name="Date" dataDxfId="7"/>
    <tableColumn id="2" name="Sales Person"/>
    <tableColumn id="3" name="Region"/>
    <tableColumn id="4" name="Product"/>
    <tableColumn id="5" name="Units Sold" dataDxfId="6"/>
    <tableColumn id="6" name="Unit Price" dataDxfId="5" dataCellStyle="Currency [0]">
      <calculatedColumnFormula>IF(D2="Tent",6000,IF(D2="Blender",3500,IF(D2="Action Figure",1200,IF(D2="Novel",1000,IF(D2="Sneakers",4000,IF(D2="Smartphone",10000,IF(D2="moisturizer",600,"No Product Found")))))))</calculatedColumnFormula>
    </tableColumn>
    <tableColumn id="7" name="Cost of Goods" dataDxfId="4" dataCellStyle="Currency [0]">
      <calculatedColumnFormula>IF(D2="Tent",4000,IF(D2="Blender",2500,IF(D2="Action Figure",800,IF(D2="Novel",700,IF(D2="Sneakers",3000,IF(D2="Smartphone",7000,IF(D2="moisturizer",400,"No Product Found")))))))</calculatedColumnFormula>
    </tableColumn>
    <tableColumn id="8" name="Total Sales" dataDxfId="3" dataCellStyle="Currency [0]">
      <calculatedColumnFormula>F2*E2</calculatedColumnFormula>
    </tableColumn>
    <tableColumn id="9" name="Profit" dataDxfId="2" dataCellStyle="Currency [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V37" sqref="V37"/>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zoomScale="130" zoomScaleNormal="130" workbookViewId="0">
      <selection activeCell="J16" sqref="J16"/>
    </sheetView>
  </sheetViews>
  <sheetFormatPr defaultRowHeight="14"/>
  <cols>
    <col min="1" max="1" width="12.83203125" customWidth="1"/>
    <col min="2" max="2" width="13.58203125" customWidth="1"/>
    <col min="4" max="4" width="15.58203125" customWidth="1"/>
    <col min="5" max="5" width="11.25" customWidth="1"/>
    <col min="6" max="6" width="12.75" customWidth="1"/>
    <col min="7" max="7" width="14.9140625" customWidth="1"/>
    <col min="8" max="10" width="13.5" customWidth="1"/>
    <col min="11" max="11" width="18.25" customWidth="1"/>
    <col min="12" max="12" width="14.25" customWidth="1"/>
  </cols>
  <sheetData>
    <row r="1" spans="1:11" ht="20.149999999999999" customHeight="1" thickBot="1">
      <c r="A1" s="1" t="s">
        <v>0</v>
      </c>
      <c r="B1" s="1" t="s">
        <v>1</v>
      </c>
      <c r="C1" s="1" t="s">
        <v>2</v>
      </c>
      <c r="D1" s="1" t="s">
        <v>3</v>
      </c>
      <c r="E1" s="1" t="s">
        <v>4</v>
      </c>
      <c r="F1" s="1" t="s">
        <v>5</v>
      </c>
      <c r="G1" s="1" t="s">
        <v>6</v>
      </c>
      <c r="H1" s="1" t="s">
        <v>7</v>
      </c>
      <c r="I1" s="5" t="s">
        <v>29</v>
      </c>
      <c r="K1" s="5" t="s">
        <v>30</v>
      </c>
    </row>
    <row r="2" spans="1:11" ht="14.5" thickTop="1">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4">
        <f>H2-(G2*E2)</f>
        <v>168000</v>
      </c>
      <c r="K2" s="6">
        <f>SUM(H2:H51)</f>
        <v>12944500</v>
      </c>
    </row>
    <row r="3" spans="1:11">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4">
        <f t="shared" ref="I3:I51" si="3">H3-(G3*E3)</f>
        <v>128000</v>
      </c>
      <c r="K3" s="5" t="s">
        <v>31</v>
      </c>
    </row>
    <row r="4" spans="1:11">
      <c r="A4" s="2">
        <v>44230</v>
      </c>
      <c r="B4" t="s">
        <v>14</v>
      </c>
      <c r="C4" t="s">
        <v>15</v>
      </c>
      <c r="D4" t="s">
        <v>16</v>
      </c>
      <c r="E4" s="3">
        <v>136</v>
      </c>
      <c r="F4" s="4">
        <f t="shared" si="0"/>
        <v>1200</v>
      </c>
      <c r="G4" s="4">
        <f t="shared" si="1"/>
        <v>800</v>
      </c>
      <c r="H4" s="4">
        <f t="shared" si="2"/>
        <v>163200</v>
      </c>
      <c r="I4" s="4">
        <f t="shared" si="3"/>
        <v>54400</v>
      </c>
      <c r="K4">
        <f>SUM(E2:E51)</f>
        <v>4705</v>
      </c>
    </row>
    <row r="5" spans="1:11">
      <c r="A5" s="2">
        <v>44085</v>
      </c>
      <c r="B5" t="s">
        <v>17</v>
      </c>
      <c r="C5" t="s">
        <v>18</v>
      </c>
      <c r="D5" t="s">
        <v>19</v>
      </c>
      <c r="E5" s="3">
        <v>91</v>
      </c>
      <c r="F5" s="4">
        <f t="shared" si="0"/>
        <v>1000</v>
      </c>
      <c r="G5" s="4">
        <f t="shared" si="1"/>
        <v>700</v>
      </c>
      <c r="H5" s="4">
        <f t="shared" si="2"/>
        <v>91000</v>
      </c>
      <c r="I5" s="4">
        <f t="shared" si="3"/>
        <v>27300</v>
      </c>
      <c r="K5" s="5" t="s">
        <v>32</v>
      </c>
    </row>
    <row r="6" spans="1:11">
      <c r="A6" s="2">
        <v>44462</v>
      </c>
      <c r="B6" t="s">
        <v>20</v>
      </c>
      <c r="C6" t="s">
        <v>9</v>
      </c>
      <c r="D6" t="s">
        <v>21</v>
      </c>
      <c r="E6" s="3">
        <v>110</v>
      </c>
      <c r="F6" s="4">
        <f t="shared" si="0"/>
        <v>4000</v>
      </c>
      <c r="G6" s="4">
        <f t="shared" si="1"/>
        <v>3000</v>
      </c>
      <c r="H6" s="4">
        <f t="shared" si="2"/>
        <v>440000</v>
      </c>
      <c r="I6" s="4">
        <f t="shared" si="3"/>
        <v>110000</v>
      </c>
      <c r="K6" s="6">
        <f>SUM(I2:I51)</f>
        <v>3834400</v>
      </c>
    </row>
    <row r="7" spans="1:11">
      <c r="A7" s="2">
        <v>44105</v>
      </c>
      <c r="B7" t="s">
        <v>22</v>
      </c>
      <c r="C7" t="s">
        <v>12</v>
      </c>
      <c r="D7" t="s">
        <v>16</v>
      </c>
      <c r="E7" s="3">
        <v>51</v>
      </c>
      <c r="F7" s="4">
        <f t="shared" si="0"/>
        <v>1200</v>
      </c>
      <c r="G7" s="4">
        <f t="shared" si="1"/>
        <v>800</v>
      </c>
      <c r="H7" s="4">
        <f t="shared" si="2"/>
        <v>61200</v>
      </c>
      <c r="I7" s="4">
        <f t="shared" si="3"/>
        <v>20400</v>
      </c>
      <c r="K7" s="5" t="s">
        <v>33</v>
      </c>
    </row>
    <row r="8" spans="1:11">
      <c r="A8" s="2">
        <v>44413</v>
      </c>
      <c r="B8" t="s">
        <v>23</v>
      </c>
      <c r="C8" t="s">
        <v>18</v>
      </c>
      <c r="D8" t="s">
        <v>19</v>
      </c>
      <c r="E8" s="3">
        <v>78</v>
      </c>
      <c r="F8" s="4">
        <f t="shared" si="0"/>
        <v>1000</v>
      </c>
      <c r="G8" s="4">
        <f t="shared" si="1"/>
        <v>700</v>
      </c>
      <c r="H8" s="4">
        <f t="shared" si="2"/>
        <v>78000</v>
      </c>
      <c r="I8" s="4">
        <f t="shared" si="3"/>
        <v>23400</v>
      </c>
      <c r="K8" s="6">
        <f>SUM(H2:H51)</f>
        <v>12944500</v>
      </c>
    </row>
    <row r="9" spans="1:11">
      <c r="A9" s="2">
        <v>44141</v>
      </c>
      <c r="B9" t="s">
        <v>24</v>
      </c>
      <c r="C9" t="s">
        <v>15</v>
      </c>
      <c r="D9" t="s">
        <v>10</v>
      </c>
      <c r="E9" s="3">
        <v>146</v>
      </c>
      <c r="F9" s="4">
        <f t="shared" si="0"/>
        <v>6000</v>
      </c>
      <c r="G9" s="4">
        <f t="shared" si="1"/>
        <v>4000</v>
      </c>
      <c r="H9" s="4">
        <f t="shared" si="2"/>
        <v>876000</v>
      </c>
      <c r="I9" s="4">
        <f t="shared" si="3"/>
        <v>292000</v>
      </c>
    </row>
    <row r="10" spans="1:11">
      <c r="A10" s="2">
        <v>44223</v>
      </c>
      <c r="B10" t="s">
        <v>25</v>
      </c>
      <c r="C10" t="s">
        <v>9</v>
      </c>
      <c r="D10" t="s">
        <v>26</v>
      </c>
      <c r="E10" s="3">
        <v>101</v>
      </c>
      <c r="F10" s="4">
        <f t="shared" si="0"/>
        <v>600</v>
      </c>
      <c r="G10" s="4">
        <f t="shared" si="1"/>
        <v>400</v>
      </c>
      <c r="H10" s="4">
        <f t="shared" si="2"/>
        <v>60600</v>
      </c>
      <c r="I10" s="4">
        <f t="shared" si="3"/>
        <v>20200</v>
      </c>
    </row>
    <row r="11" spans="1:11">
      <c r="A11" s="2">
        <v>44442</v>
      </c>
      <c r="B11" t="s">
        <v>27</v>
      </c>
      <c r="C11" t="s">
        <v>15</v>
      </c>
      <c r="D11" t="s">
        <v>10</v>
      </c>
      <c r="E11" s="3">
        <v>52</v>
      </c>
      <c r="F11" s="4">
        <f t="shared" si="0"/>
        <v>6000</v>
      </c>
      <c r="G11" s="4">
        <f t="shared" si="1"/>
        <v>4000</v>
      </c>
      <c r="H11" s="4">
        <f t="shared" si="2"/>
        <v>312000</v>
      </c>
      <c r="I11" s="4">
        <f t="shared" si="3"/>
        <v>104000</v>
      </c>
    </row>
    <row r="12" spans="1:11">
      <c r="A12" s="2">
        <v>44469</v>
      </c>
      <c r="B12" t="s">
        <v>27</v>
      </c>
      <c r="C12" t="s">
        <v>12</v>
      </c>
      <c r="D12" t="s">
        <v>16</v>
      </c>
      <c r="E12" s="3">
        <v>55</v>
      </c>
      <c r="F12" s="4">
        <f t="shared" si="0"/>
        <v>1200</v>
      </c>
      <c r="G12" s="4">
        <f t="shared" si="1"/>
        <v>800</v>
      </c>
      <c r="H12" s="4">
        <f t="shared" si="2"/>
        <v>66000</v>
      </c>
      <c r="I12" s="4">
        <f t="shared" si="3"/>
        <v>22000</v>
      </c>
    </row>
    <row r="13" spans="1:11">
      <c r="A13" s="2">
        <v>44084</v>
      </c>
      <c r="B13" t="s">
        <v>27</v>
      </c>
      <c r="C13" t="s">
        <v>15</v>
      </c>
      <c r="D13" t="s">
        <v>19</v>
      </c>
      <c r="E13" s="3">
        <v>137</v>
      </c>
      <c r="F13" s="4">
        <f t="shared" si="0"/>
        <v>1000</v>
      </c>
      <c r="G13" s="4">
        <f t="shared" si="1"/>
        <v>700</v>
      </c>
      <c r="H13" s="4">
        <f t="shared" si="2"/>
        <v>137000</v>
      </c>
      <c r="I13" s="4">
        <f t="shared" si="3"/>
        <v>41100</v>
      </c>
    </row>
    <row r="14" spans="1:11">
      <c r="A14" s="2">
        <v>44404</v>
      </c>
      <c r="B14" t="s">
        <v>24</v>
      </c>
      <c r="C14" t="s">
        <v>15</v>
      </c>
      <c r="D14" t="s">
        <v>13</v>
      </c>
      <c r="E14" s="3">
        <v>96</v>
      </c>
      <c r="F14" s="4">
        <f t="shared" si="0"/>
        <v>3500</v>
      </c>
      <c r="G14" s="4">
        <f t="shared" si="1"/>
        <v>2500</v>
      </c>
      <c r="H14" s="4">
        <f t="shared" si="2"/>
        <v>336000</v>
      </c>
      <c r="I14" s="4">
        <f t="shared" si="3"/>
        <v>96000</v>
      </c>
    </row>
    <row r="15" spans="1:11">
      <c r="A15" s="2">
        <v>44113</v>
      </c>
      <c r="B15" t="s">
        <v>25</v>
      </c>
      <c r="C15" t="s">
        <v>12</v>
      </c>
      <c r="D15" t="s">
        <v>21</v>
      </c>
      <c r="E15" s="3">
        <v>52</v>
      </c>
      <c r="F15" s="4">
        <f t="shared" si="0"/>
        <v>4000</v>
      </c>
      <c r="G15" s="4">
        <f t="shared" si="1"/>
        <v>3000</v>
      </c>
      <c r="H15" s="4">
        <f t="shared" si="2"/>
        <v>208000</v>
      </c>
      <c r="I15" s="4">
        <f t="shared" si="3"/>
        <v>52000</v>
      </c>
    </row>
    <row r="16" spans="1:11">
      <c r="A16" s="2">
        <v>44292</v>
      </c>
      <c r="B16" t="s">
        <v>17</v>
      </c>
      <c r="C16" t="s">
        <v>9</v>
      </c>
      <c r="D16" t="s">
        <v>13</v>
      </c>
      <c r="E16" s="3">
        <v>76</v>
      </c>
      <c r="F16" s="4">
        <f t="shared" si="0"/>
        <v>3500</v>
      </c>
      <c r="G16" s="4">
        <f t="shared" si="1"/>
        <v>2500</v>
      </c>
      <c r="H16" s="4">
        <f t="shared" si="2"/>
        <v>266000</v>
      </c>
      <c r="I16" s="4">
        <f t="shared" si="3"/>
        <v>76000</v>
      </c>
    </row>
    <row r="17" spans="1:9">
      <c r="A17" s="2">
        <v>44362</v>
      </c>
      <c r="B17" t="s">
        <v>11</v>
      </c>
      <c r="C17" t="s">
        <v>18</v>
      </c>
      <c r="D17" t="s">
        <v>21</v>
      </c>
      <c r="E17" s="3">
        <v>145</v>
      </c>
      <c r="F17" s="4">
        <f t="shared" si="0"/>
        <v>4000</v>
      </c>
      <c r="G17" s="4">
        <f t="shared" si="1"/>
        <v>3000</v>
      </c>
      <c r="H17" s="4">
        <f t="shared" si="2"/>
        <v>580000</v>
      </c>
      <c r="I17" s="4">
        <f t="shared" si="3"/>
        <v>145000</v>
      </c>
    </row>
    <row r="18" spans="1:9">
      <c r="A18" s="2">
        <v>44083</v>
      </c>
      <c r="B18" t="s">
        <v>8</v>
      </c>
      <c r="C18" t="s">
        <v>15</v>
      </c>
      <c r="D18" t="s">
        <v>26</v>
      </c>
      <c r="E18" s="3">
        <v>83</v>
      </c>
      <c r="F18" s="4">
        <f t="shared" si="0"/>
        <v>600</v>
      </c>
      <c r="G18" s="4">
        <f t="shared" si="1"/>
        <v>400</v>
      </c>
      <c r="H18" s="4">
        <f t="shared" si="2"/>
        <v>49800</v>
      </c>
      <c r="I18" s="4">
        <f t="shared" si="3"/>
        <v>16600</v>
      </c>
    </row>
    <row r="19" spans="1:9">
      <c r="A19" s="2">
        <v>44421</v>
      </c>
      <c r="B19" t="s">
        <v>20</v>
      </c>
      <c r="C19" t="s">
        <v>15</v>
      </c>
      <c r="D19" t="s">
        <v>19</v>
      </c>
      <c r="E19" s="3">
        <v>91</v>
      </c>
      <c r="F19" s="4">
        <f t="shared" si="0"/>
        <v>1000</v>
      </c>
      <c r="G19" s="4">
        <f t="shared" si="1"/>
        <v>700</v>
      </c>
      <c r="H19" s="4">
        <f t="shared" si="2"/>
        <v>91000</v>
      </c>
      <c r="I19" s="4">
        <f t="shared" si="3"/>
        <v>27300</v>
      </c>
    </row>
    <row r="20" spans="1:9">
      <c r="A20" s="2">
        <v>44070</v>
      </c>
      <c r="B20" t="s">
        <v>22</v>
      </c>
      <c r="C20" t="s">
        <v>9</v>
      </c>
      <c r="D20" t="s">
        <v>28</v>
      </c>
      <c r="E20" s="3">
        <v>108</v>
      </c>
      <c r="F20" s="4">
        <f t="shared" si="0"/>
        <v>10000</v>
      </c>
      <c r="G20" s="4">
        <f t="shared" si="1"/>
        <v>7000</v>
      </c>
      <c r="H20" s="4">
        <f t="shared" si="2"/>
        <v>1080000</v>
      </c>
      <c r="I20" s="4">
        <f t="shared" si="3"/>
        <v>324000</v>
      </c>
    </row>
    <row r="21" spans="1:9">
      <c r="A21" s="2">
        <v>44293</v>
      </c>
      <c r="B21" t="s">
        <v>14</v>
      </c>
      <c r="C21" t="s">
        <v>18</v>
      </c>
      <c r="D21" t="s">
        <v>21</v>
      </c>
      <c r="E21" s="3">
        <v>144</v>
      </c>
      <c r="F21" s="4">
        <f t="shared" si="0"/>
        <v>4000</v>
      </c>
      <c r="G21" s="4">
        <f t="shared" si="1"/>
        <v>3000</v>
      </c>
      <c r="H21" s="4">
        <f t="shared" si="2"/>
        <v>576000</v>
      </c>
      <c r="I21" s="4">
        <f t="shared" si="3"/>
        <v>144000</v>
      </c>
    </row>
    <row r="22" spans="1:9">
      <c r="A22" s="2">
        <v>43990</v>
      </c>
      <c r="B22" t="s">
        <v>20</v>
      </c>
      <c r="C22" t="s">
        <v>15</v>
      </c>
      <c r="D22" t="s">
        <v>26</v>
      </c>
      <c r="E22" s="3">
        <v>92</v>
      </c>
      <c r="F22" s="4">
        <f t="shared" si="0"/>
        <v>600</v>
      </c>
      <c r="G22" s="4">
        <f t="shared" si="1"/>
        <v>400</v>
      </c>
      <c r="H22" s="4">
        <f t="shared" si="2"/>
        <v>55200</v>
      </c>
      <c r="I22" s="4">
        <f t="shared" si="3"/>
        <v>18400</v>
      </c>
    </row>
    <row r="23" spans="1:9">
      <c r="A23" s="2">
        <v>44551</v>
      </c>
      <c r="B23" t="s">
        <v>24</v>
      </c>
      <c r="C23" t="s">
        <v>9</v>
      </c>
      <c r="D23" t="s">
        <v>10</v>
      </c>
      <c r="E23" s="3">
        <v>71</v>
      </c>
      <c r="F23" s="4">
        <f t="shared" si="0"/>
        <v>6000</v>
      </c>
      <c r="G23" s="4">
        <f t="shared" si="1"/>
        <v>4000</v>
      </c>
      <c r="H23" s="4">
        <f t="shared" si="2"/>
        <v>426000</v>
      </c>
      <c r="I23" s="4">
        <f t="shared" si="3"/>
        <v>142000</v>
      </c>
    </row>
    <row r="24" spans="1:9">
      <c r="A24" s="2">
        <v>44418</v>
      </c>
      <c r="B24" t="s">
        <v>8</v>
      </c>
      <c r="C24" t="s">
        <v>12</v>
      </c>
      <c r="D24" t="s">
        <v>26</v>
      </c>
      <c r="E24" s="3">
        <v>103</v>
      </c>
      <c r="F24" s="4">
        <f t="shared" si="0"/>
        <v>600</v>
      </c>
      <c r="G24" s="4">
        <f t="shared" si="1"/>
        <v>400</v>
      </c>
      <c r="H24" s="4">
        <f t="shared" si="2"/>
        <v>61800</v>
      </c>
      <c r="I24" s="4">
        <f t="shared" si="3"/>
        <v>20600</v>
      </c>
    </row>
    <row r="25" spans="1:9">
      <c r="A25" s="2">
        <v>44532</v>
      </c>
      <c r="B25" t="s">
        <v>27</v>
      </c>
      <c r="C25" t="s">
        <v>18</v>
      </c>
      <c r="D25" t="s">
        <v>19</v>
      </c>
      <c r="E25" s="3">
        <v>55</v>
      </c>
      <c r="F25" s="4">
        <f t="shared" si="0"/>
        <v>1000</v>
      </c>
      <c r="G25" s="4">
        <f t="shared" si="1"/>
        <v>700</v>
      </c>
      <c r="H25" s="4">
        <f t="shared" si="2"/>
        <v>55000</v>
      </c>
      <c r="I25" s="4">
        <f t="shared" si="3"/>
        <v>16500</v>
      </c>
    </row>
    <row r="26" spans="1:9">
      <c r="A26" s="2">
        <v>44438</v>
      </c>
      <c r="B26" t="s">
        <v>22</v>
      </c>
      <c r="C26" t="s">
        <v>12</v>
      </c>
      <c r="D26" t="s">
        <v>21</v>
      </c>
      <c r="E26" s="3">
        <v>93</v>
      </c>
      <c r="F26" s="4">
        <f t="shared" si="0"/>
        <v>4000</v>
      </c>
      <c r="G26" s="4">
        <f t="shared" si="1"/>
        <v>3000</v>
      </c>
      <c r="H26" s="4">
        <f t="shared" si="2"/>
        <v>372000</v>
      </c>
      <c r="I26" s="4">
        <f t="shared" si="3"/>
        <v>93000</v>
      </c>
    </row>
    <row r="27" spans="1:9">
      <c r="A27" s="2">
        <v>43971</v>
      </c>
      <c r="B27" t="s">
        <v>14</v>
      </c>
      <c r="C27" t="s">
        <v>15</v>
      </c>
      <c r="D27" t="s">
        <v>26</v>
      </c>
      <c r="E27" s="3">
        <v>143</v>
      </c>
      <c r="F27" s="4">
        <f t="shared" si="0"/>
        <v>600</v>
      </c>
      <c r="G27" s="4">
        <f t="shared" si="1"/>
        <v>400</v>
      </c>
      <c r="H27" s="4">
        <f t="shared" si="2"/>
        <v>85800</v>
      </c>
      <c r="I27" s="4">
        <f t="shared" si="3"/>
        <v>28600</v>
      </c>
    </row>
    <row r="28" spans="1:9">
      <c r="A28" s="2">
        <v>44452</v>
      </c>
      <c r="B28" t="s">
        <v>23</v>
      </c>
      <c r="C28" t="s">
        <v>9</v>
      </c>
      <c r="D28" t="s">
        <v>13</v>
      </c>
      <c r="E28" s="3">
        <v>143</v>
      </c>
      <c r="F28" s="4">
        <f t="shared" si="0"/>
        <v>3500</v>
      </c>
      <c r="G28" s="4">
        <f t="shared" si="1"/>
        <v>2500</v>
      </c>
      <c r="H28" s="4">
        <f t="shared" si="2"/>
        <v>500500</v>
      </c>
      <c r="I28" s="4">
        <f t="shared" si="3"/>
        <v>143000</v>
      </c>
    </row>
    <row r="29" spans="1:9">
      <c r="A29" s="2">
        <v>44496</v>
      </c>
      <c r="B29" t="s">
        <v>25</v>
      </c>
      <c r="C29" t="s">
        <v>18</v>
      </c>
      <c r="D29" t="s">
        <v>26</v>
      </c>
      <c r="E29" s="3">
        <v>99</v>
      </c>
      <c r="F29" s="4">
        <f t="shared" si="0"/>
        <v>600</v>
      </c>
      <c r="G29" s="4">
        <f t="shared" si="1"/>
        <v>400</v>
      </c>
      <c r="H29" s="4">
        <f t="shared" si="2"/>
        <v>59400</v>
      </c>
      <c r="I29" s="4">
        <f t="shared" si="3"/>
        <v>19800</v>
      </c>
    </row>
    <row r="30" spans="1:9">
      <c r="A30" s="2">
        <v>44187</v>
      </c>
      <c r="B30" t="s">
        <v>17</v>
      </c>
      <c r="C30" t="s">
        <v>9</v>
      </c>
      <c r="D30" t="s">
        <v>19</v>
      </c>
      <c r="E30" s="3">
        <v>120</v>
      </c>
      <c r="F30" s="4">
        <f t="shared" si="0"/>
        <v>1000</v>
      </c>
      <c r="G30" s="4">
        <f t="shared" si="1"/>
        <v>700</v>
      </c>
      <c r="H30" s="4">
        <f t="shared" si="2"/>
        <v>120000</v>
      </c>
      <c r="I30" s="4">
        <f t="shared" si="3"/>
        <v>36000</v>
      </c>
    </row>
    <row r="31" spans="1:9">
      <c r="A31" s="2">
        <v>44405</v>
      </c>
      <c r="B31" t="s">
        <v>11</v>
      </c>
      <c r="C31" t="s">
        <v>15</v>
      </c>
      <c r="D31" t="s">
        <v>13</v>
      </c>
      <c r="E31" s="3">
        <v>66</v>
      </c>
      <c r="F31" s="4">
        <f t="shared" si="0"/>
        <v>3500</v>
      </c>
      <c r="G31" s="4">
        <f t="shared" si="1"/>
        <v>2500</v>
      </c>
      <c r="H31" s="4">
        <f t="shared" si="2"/>
        <v>231000</v>
      </c>
      <c r="I31" s="4">
        <f t="shared" si="3"/>
        <v>66000</v>
      </c>
    </row>
    <row r="32" spans="1:9">
      <c r="A32" s="2">
        <v>44103</v>
      </c>
      <c r="B32" t="s">
        <v>25</v>
      </c>
      <c r="C32" t="s">
        <v>18</v>
      </c>
      <c r="D32" t="s">
        <v>16</v>
      </c>
      <c r="E32" s="3">
        <v>88</v>
      </c>
      <c r="F32" s="4">
        <f t="shared" si="0"/>
        <v>1200</v>
      </c>
      <c r="G32" s="4">
        <f t="shared" si="1"/>
        <v>800</v>
      </c>
      <c r="H32" s="4">
        <f t="shared" si="2"/>
        <v>105600</v>
      </c>
      <c r="I32" s="4">
        <f t="shared" si="3"/>
        <v>35200</v>
      </c>
    </row>
    <row r="33" spans="1:9">
      <c r="A33" s="2">
        <v>44126</v>
      </c>
      <c r="B33" t="s">
        <v>17</v>
      </c>
      <c r="C33" t="s">
        <v>12</v>
      </c>
      <c r="D33" t="s">
        <v>28</v>
      </c>
      <c r="E33" s="3">
        <v>127</v>
      </c>
      <c r="F33" s="4">
        <f t="shared" si="0"/>
        <v>10000</v>
      </c>
      <c r="G33" s="4">
        <f t="shared" si="1"/>
        <v>7000</v>
      </c>
      <c r="H33" s="4">
        <f t="shared" si="2"/>
        <v>1270000</v>
      </c>
      <c r="I33" s="4">
        <f>H33-(G33*E33)</f>
        <v>381000</v>
      </c>
    </row>
    <row r="34" spans="1:9">
      <c r="A34" s="2">
        <v>43970</v>
      </c>
      <c r="B34" t="s">
        <v>20</v>
      </c>
      <c r="C34" t="s">
        <v>9</v>
      </c>
      <c r="D34" t="s">
        <v>21</v>
      </c>
      <c r="E34" s="3">
        <v>67</v>
      </c>
      <c r="F34" s="4">
        <f t="shared" si="0"/>
        <v>4000</v>
      </c>
      <c r="G34" s="4">
        <f t="shared" si="1"/>
        <v>3000</v>
      </c>
      <c r="H34" s="4">
        <f t="shared" si="2"/>
        <v>268000</v>
      </c>
      <c r="I34" s="4">
        <f t="shared" si="3"/>
        <v>67000</v>
      </c>
    </row>
    <row r="35" spans="1:9">
      <c r="A35" s="2">
        <v>44536</v>
      </c>
      <c r="B35" t="s">
        <v>11</v>
      </c>
      <c r="C35" t="s">
        <v>12</v>
      </c>
      <c r="D35" t="s">
        <v>16</v>
      </c>
      <c r="E35" s="3">
        <v>67</v>
      </c>
      <c r="F35" s="4">
        <f t="shared" si="0"/>
        <v>1200</v>
      </c>
      <c r="G35" s="4">
        <f t="shared" si="1"/>
        <v>800</v>
      </c>
      <c r="H35" s="4">
        <f t="shared" si="2"/>
        <v>80400</v>
      </c>
      <c r="I35" s="4">
        <f t="shared" si="3"/>
        <v>26800</v>
      </c>
    </row>
    <row r="36" spans="1:9">
      <c r="A36" s="2">
        <v>44069</v>
      </c>
      <c r="B36" t="s">
        <v>27</v>
      </c>
      <c r="C36" t="s">
        <v>15</v>
      </c>
      <c r="D36" t="s">
        <v>19</v>
      </c>
      <c r="E36" s="3">
        <v>149</v>
      </c>
      <c r="F36" s="4">
        <f t="shared" si="0"/>
        <v>1000</v>
      </c>
      <c r="G36" s="4">
        <f t="shared" si="1"/>
        <v>700</v>
      </c>
      <c r="H36" s="4">
        <f t="shared" si="2"/>
        <v>149000</v>
      </c>
      <c r="I36" s="4">
        <f t="shared" si="3"/>
        <v>44700</v>
      </c>
    </row>
    <row r="37" spans="1:9">
      <c r="A37" s="2">
        <v>44378</v>
      </c>
      <c r="B37" t="s">
        <v>20</v>
      </c>
      <c r="C37" t="s">
        <v>18</v>
      </c>
      <c r="D37" t="s">
        <v>26</v>
      </c>
      <c r="E37" s="3">
        <v>104</v>
      </c>
      <c r="F37" s="4">
        <f t="shared" si="0"/>
        <v>600</v>
      </c>
      <c r="G37" s="4">
        <f t="shared" si="1"/>
        <v>400</v>
      </c>
      <c r="H37" s="4">
        <f t="shared" si="2"/>
        <v>62400</v>
      </c>
      <c r="I37" s="4">
        <f t="shared" si="3"/>
        <v>20800</v>
      </c>
    </row>
    <row r="38" spans="1:9">
      <c r="A38" s="2">
        <v>44404</v>
      </c>
      <c r="B38" t="s">
        <v>24</v>
      </c>
      <c r="C38" t="s">
        <v>9</v>
      </c>
      <c r="D38" t="s">
        <v>26</v>
      </c>
      <c r="E38" s="3">
        <v>57</v>
      </c>
      <c r="F38" s="4">
        <f t="shared" si="0"/>
        <v>600</v>
      </c>
      <c r="G38" s="4">
        <f t="shared" si="1"/>
        <v>400</v>
      </c>
      <c r="H38" s="4">
        <f t="shared" si="2"/>
        <v>34200</v>
      </c>
      <c r="I38" s="4">
        <f t="shared" si="3"/>
        <v>11400</v>
      </c>
    </row>
    <row r="39" spans="1:9">
      <c r="A39" s="2">
        <v>44109</v>
      </c>
      <c r="B39" t="s">
        <v>14</v>
      </c>
      <c r="C39" t="s">
        <v>12</v>
      </c>
      <c r="D39" t="s">
        <v>26</v>
      </c>
      <c r="E39" s="3">
        <v>90</v>
      </c>
      <c r="F39" s="4">
        <f t="shared" si="0"/>
        <v>600</v>
      </c>
      <c r="G39" s="4">
        <f t="shared" si="1"/>
        <v>400</v>
      </c>
      <c r="H39" s="4">
        <f t="shared" si="2"/>
        <v>54000</v>
      </c>
      <c r="I39" s="4">
        <f t="shared" si="3"/>
        <v>18000</v>
      </c>
    </row>
    <row r="40" spans="1:9">
      <c r="A40" s="2">
        <v>44076</v>
      </c>
      <c r="B40" t="s">
        <v>22</v>
      </c>
      <c r="C40" t="s">
        <v>15</v>
      </c>
      <c r="D40" t="s">
        <v>26</v>
      </c>
      <c r="E40" s="3">
        <v>67</v>
      </c>
      <c r="F40" s="4">
        <f t="shared" si="0"/>
        <v>600</v>
      </c>
      <c r="G40" s="4">
        <f t="shared" si="1"/>
        <v>400</v>
      </c>
      <c r="H40" s="4">
        <f t="shared" si="2"/>
        <v>40200</v>
      </c>
      <c r="I40" s="4">
        <f t="shared" si="3"/>
        <v>13400</v>
      </c>
    </row>
    <row r="41" spans="1:9">
      <c r="A41" s="2">
        <v>44441</v>
      </c>
      <c r="B41" t="s">
        <v>8</v>
      </c>
      <c r="C41" t="s">
        <v>18</v>
      </c>
      <c r="D41" t="s">
        <v>21</v>
      </c>
      <c r="E41" s="3">
        <v>127</v>
      </c>
      <c r="F41" s="4">
        <f t="shared" si="0"/>
        <v>4000</v>
      </c>
      <c r="G41" s="4">
        <f t="shared" si="1"/>
        <v>3000</v>
      </c>
      <c r="H41" s="4">
        <f t="shared" si="2"/>
        <v>508000</v>
      </c>
      <c r="I41" s="4">
        <f t="shared" si="3"/>
        <v>127000</v>
      </c>
    </row>
    <row r="42" spans="1:9">
      <c r="A42" s="2">
        <v>44299</v>
      </c>
      <c r="B42" t="s">
        <v>22</v>
      </c>
      <c r="C42" t="s">
        <v>9</v>
      </c>
      <c r="D42" t="s">
        <v>19</v>
      </c>
      <c r="E42" s="3">
        <v>108</v>
      </c>
      <c r="F42" s="4">
        <f t="shared" si="0"/>
        <v>1000</v>
      </c>
      <c r="G42" s="4">
        <f t="shared" si="1"/>
        <v>700</v>
      </c>
      <c r="H42" s="4">
        <f t="shared" si="2"/>
        <v>108000</v>
      </c>
      <c r="I42" s="4">
        <f t="shared" si="3"/>
        <v>32400</v>
      </c>
    </row>
    <row r="43" spans="1:9">
      <c r="A43" s="2">
        <v>44322</v>
      </c>
      <c r="B43" t="s">
        <v>14</v>
      </c>
      <c r="C43" t="s">
        <v>12</v>
      </c>
      <c r="D43" t="s">
        <v>13</v>
      </c>
      <c r="E43" s="3">
        <v>66</v>
      </c>
      <c r="F43" s="4">
        <f t="shared" si="0"/>
        <v>3500</v>
      </c>
      <c r="G43" s="4">
        <f t="shared" si="1"/>
        <v>2500</v>
      </c>
      <c r="H43" s="4">
        <f t="shared" si="2"/>
        <v>231000</v>
      </c>
      <c r="I43" s="4">
        <f t="shared" si="3"/>
        <v>66000</v>
      </c>
    </row>
    <row r="44" spans="1:9">
      <c r="A44" s="2">
        <v>44211</v>
      </c>
      <c r="B44" t="s">
        <v>8</v>
      </c>
      <c r="C44" t="s">
        <v>18</v>
      </c>
      <c r="D44" t="s">
        <v>10</v>
      </c>
      <c r="E44" s="3">
        <v>78</v>
      </c>
      <c r="F44" s="4">
        <f t="shared" si="0"/>
        <v>6000</v>
      </c>
      <c r="G44" s="4">
        <f t="shared" si="1"/>
        <v>4000</v>
      </c>
      <c r="H44" s="4">
        <f t="shared" si="2"/>
        <v>468000</v>
      </c>
      <c r="I44" s="4">
        <f t="shared" si="3"/>
        <v>156000</v>
      </c>
    </row>
    <row r="45" spans="1:9">
      <c r="A45" s="2">
        <v>44070</v>
      </c>
      <c r="B45" t="s">
        <v>24</v>
      </c>
      <c r="C45" t="s">
        <v>15</v>
      </c>
      <c r="D45" t="s">
        <v>19</v>
      </c>
      <c r="E45" s="3">
        <v>69</v>
      </c>
      <c r="F45" s="4">
        <f t="shared" si="0"/>
        <v>1000</v>
      </c>
      <c r="G45" s="4">
        <f t="shared" si="1"/>
        <v>700</v>
      </c>
      <c r="H45" s="4">
        <f t="shared" si="2"/>
        <v>69000</v>
      </c>
      <c r="I45" s="4">
        <f t="shared" si="3"/>
        <v>20700</v>
      </c>
    </row>
    <row r="46" spans="1:9">
      <c r="A46" s="2">
        <v>44232</v>
      </c>
      <c r="B46" t="s">
        <v>20</v>
      </c>
      <c r="C46" t="s">
        <v>9</v>
      </c>
      <c r="D46" t="s">
        <v>16</v>
      </c>
      <c r="E46" s="3">
        <v>59</v>
      </c>
      <c r="F46" s="4">
        <f t="shared" si="0"/>
        <v>1200</v>
      </c>
      <c r="G46" s="4">
        <f t="shared" si="1"/>
        <v>800</v>
      </c>
      <c r="H46" s="4">
        <f t="shared" si="2"/>
        <v>70800</v>
      </c>
      <c r="I46" s="4">
        <f t="shared" si="3"/>
        <v>23600</v>
      </c>
    </row>
    <row r="47" spans="1:9">
      <c r="A47" s="2">
        <v>44517</v>
      </c>
      <c r="B47" t="s">
        <v>27</v>
      </c>
      <c r="C47" t="s">
        <v>15</v>
      </c>
      <c r="D47" t="s">
        <v>26</v>
      </c>
      <c r="E47" s="3">
        <v>109</v>
      </c>
      <c r="F47" s="4">
        <f t="shared" si="0"/>
        <v>600</v>
      </c>
      <c r="G47" s="4">
        <f t="shared" si="1"/>
        <v>400</v>
      </c>
      <c r="H47" s="4">
        <f t="shared" si="2"/>
        <v>65400</v>
      </c>
      <c r="I47" s="4">
        <f t="shared" si="3"/>
        <v>21800</v>
      </c>
    </row>
    <row r="48" spans="1:9">
      <c r="A48" s="2">
        <v>44193</v>
      </c>
      <c r="B48" t="s">
        <v>25</v>
      </c>
      <c r="C48" t="s">
        <v>12</v>
      </c>
      <c r="D48" t="s">
        <v>21</v>
      </c>
      <c r="E48" s="3">
        <v>61</v>
      </c>
      <c r="F48" s="4">
        <f t="shared" si="0"/>
        <v>4000</v>
      </c>
      <c r="G48" s="4">
        <f t="shared" si="1"/>
        <v>3000</v>
      </c>
      <c r="H48" s="4">
        <f t="shared" si="2"/>
        <v>244000</v>
      </c>
      <c r="I48" s="4">
        <f t="shared" si="3"/>
        <v>61000</v>
      </c>
    </row>
    <row r="49" spans="1:9">
      <c r="A49" s="2">
        <v>44496</v>
      </c>
      <c r="B49" t="s">
        <v>20</v>
      </c>
      <c r="C49" t="s">
        <v>18</v>
      </c>
      <c r="D49" t="s">
        <v>26</v>
      </c>
      <c r="E49" s="3">
        <v>130</v>
      </c>
      <c r="F49" s="4">
        <f t="shared" si="0"/>
        <v>600</v>
      </c>
      <c r="G49" s="4">
        <f t="shared" si="1"/>
        <v>400</v>
      </c>
      <c r="H49" s="4">
        <f t="shared" si="2"/>
        <v>78000</v>
      </c>
      <c r="I49" s="4">
        <f t="shared" si="3"/>
        <v>26000</v>
      </c>
    </row>
    <row r="50" spans="1:9">
      <c r="A50" s="2">
        <v>44502</v>
      </c>
      <c r="B50" t="s">
        <v>17</v>
      </c>
      <c r="C50" t="s">
        <v>15</v>
      </c>
      <c r="D50" t="s">
        <v>13</v>
      </c>
      <c r="E50" s="3">
        <v>60</v>
      </c>
      <c r="F50" s="4">
        <f t="shared" si="0"/>
        <v>3500</v>
      </c>
      <c r="G50" s="4">
        <f t="shared" si="1"/>
        <v>2500</v>
      </c>
      <c r="H50" s="4">
        <f t="shared" si="2"/>
        <v>210000</v>
      </c>
      <c r="I50" s="4">
        <f t="shared" si="3"/>
        <v>60000</v>
      </c>
    </row>
    <row r="51" spans="1:9">
      <c r="A51" s="2">
        <v>43958</v>
      </c>
      <c r="B51" t="s">
        <v>11</v>
      </c>
      <c r="C51" t="s">
        <v>12</v>
      </c>
      <c r="D51" t="s">
        <v>10</v>
      </c>
      <c r="E51" s="3">
        <v>73</v>
      </c>
      <c r="F51" s="4">
        <f t="shared" si="0"/>
        <v>6000</v>
      </c>
      <c r="G51" s="4">
        <f t="shared" si="1"/>
        <v>4000</v>
      </c>
      <c r="H51" s="4">
        <f t="shared" si="2"/>
        <v>438000</v>
      </c>
      <c r="I51" s="4">
        <f t="shared" si="3"/>
        <v>146000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4"/>
  <sheetViews>
    <sheetView zoomScale="85" zoomScaleNormal="85" workbookViewId="0">
      <selection activeCell="E7" sqref="E7"/>
    </sheetView>
  </sheetViews>
  <sheetFormatPr defaultRowHeight="14"/>
  <cols>
    <col min="1" max="1" width="13.83203125" bestFit="1" customWidth="1"/>
    <col min="2" max="2" width="17.9140625" bestFit="1" customWidth="1"/>
    <col min="4" max="4" width="13.83203125" customWidth="1"/>
    <col min="5" max="5" width="17.9140625" bestFit="1" customWidth="1"/>
    <col min="7" max="7" width="13.83203125" customWidth="1"/>
    <col min="8" max="8" width="17.9140625" bestFit="1" customWidth="1"/>
    <col min="10" max="10" width="13.83203125" customWidth="1"/>
    <col min="11" max="11" width="17.08203125" customWidth="1"/>
  </cols>
  <sheetData>
    <row r="3" spans="1:11">
      <c r="A3" s="7" t="s">
        <v>34</v>
      </c>
      <c r="B3" t="s">
        <v>35</v>
      </c>
      <c r="D3" s="7" t="s">
        <v>34</v>
      </c>
      <c r="E3" t="s">
        <v>35</v>
      </c>
      <c r="G3" s="7" t="s">
        <v>34</v>
      </c>
      <c r="H3" t="s">
        <v>35</v>
      </c>
      <c r="J3" s="7" t="s">
        <v>34</v>
      </c>
      <c r="K3" t="s">
        <v>36</v>
      </c>
    </row>
    <row r="4" spans="1:11">
      <c r="A4" s="3" t="s">
        <v>12</v>
      </c>
      <c r="B4" s="9">
        <v>3534400</v>
      </c>
      <c r="D4" s="3" t="s">
        <v>16</v>
      </c>
      <c r="E4" s="9">
        <v>547200</v>
      </c>
      <c r="G4" s="3" t="s">
        <v>8</v>
      </c>
      <c r="H4" s="9">
        <v>1591600</v>
      </c>
      <c r="J4" s="3" t="s">
        <v>16</v>
      </c>
      <c r="K4" s="8">
        <v>456</v>
      </c>
    </row>
    <row r="5" spans="1:11">
      <c r="A5" s="3" t="s">
        <v>18</v>
      </c>
      <c r="B5" s="9">
        <v>2661400</v>
      </c>
      <c r="D5" s="3" t="s">
        <v>13</v>
      </c>
      <c r="E5" s="9">
        <v>2222500</v>
      </c>
      <c r="G5" s="3" t="s">
        <v>25</v>
      </c>
      <c r="H5" s="9">
        <v>677600</v>
      </c>
      <c r="J5" s="3" t="s">
        <v>13</v>
      </c>
      <c r="K5" s="8">
        <v>635</v>
      </c>
    </row>
    <row r="6" spans="1:11">
      <c r="A6" s="3" t="s">
        <v>15</v>
      </c>
      <c r="B6" s="9">
        <v>2870600</v>
      </c>
      <c r="D6" s="3" t="s">
        <v>26</v>
      </c>
      <c r="E6" s="9">
        <v>706800</v>
      </c>
      <c r="G6" s="3" t="s">
        <v>17</v>
      </c>
      <c r="H6" s="9">
        <v>1957000</v>
      </c>
      <c r="J6" s="3" t="s">
        <v>26</v>
      </c>
      <c r="K6" s="8">
        <v>1178</v>
      </c>
    </row>
    <row r="7" spans="1:11">
      <c r="A7" s="3" t="s">
        <v>9</v>
      </c>
      <c r="B7" s="9">
        <v>3878100</v>
      </c>
      <c r="D7" s="3" t="s">
        <v>19</v>
      </c>
      <c r="E7" s="9">
        <v>898000</v>
      </c>
      <c r="G7" s="3" t="s">
        <v>22</v>
      </c>
      <c r="H7" s="9">
        <v>1661400</v>
      </c>
      <c r="J7" s="3" t="s">
        <v>19</v>
      </c>
      <c r="K7" s="8">
        <v>898</v>
      </c>
    </row>
    <row r="8" spans="1:11">
      <c r="A8" s="3" t="s">
        <v>30</v>
      </c>
      <c r="B8" s="9">
        <v>12944500</v>
      </c>
      <c r="D8" s="3" t="s">
        <v>28</v>
      </c>
      <c r="E8" s="9">
        <v>2350000</v>
      </c>
      <c r="G8" s="3" t="s">
        <v>24</v>
      </c>
      <c r="H8" s="9">
        <v>1741200</v>
      </c>
      <c r="J8" s="3" t="s">
        <v>28</v>
      </c>
      <c r="K8" s="8">
        <v>235</v>
      </c>
    </row>
    <row r="9" spans="1:11">
      <c r="D9" s="3" t="s">
        <v>21</v>
      </c>
      <c r="E9" s="9">
        <v>3196000</v>
      </c>
      <c r="G9" s="3" t="s">
        <v>14</v>
      </c>
      <c r="H9" s="9">
        <v>1110000</v>
      </c>
      <c r="J9" s="3" t="s">
        <v>21</v>
      </c>
      <c r="K9" s="8">
        <v>799</v>
      </c>
    </row>
    <row r="10" spans="1:11">
      <c r="D10" s="3" t="s">
        <v>10</v>
      </c>
      <c r="E10" s="9">
        <v>3024000</v>
      </c>
      <c r="G10" s="3" t="s">
        <v>11</v>
      </c>
      <c r="H10" s="9">
        <v>1777400</v>
      </c>
      <c r="J10" s="3" t="s">
        <v>10</v>
      </c>
      <c r="K10" s="8">
        <v>504</v>
      </c>
    </row>
    <row r="11" spans="1:11">
      <c r="D11" s="3" t="s">
        <v>30</v>
      </c>
      <c r="E11" s="9">
        <v>12944500</v>
      </c>
      <c r="G11" s="3" t="s">
        <v>20</v>
      </c>
      <c r="H11" s="9">
        <v>1065400</v>
      </c>
      <c r="J11" s="3" t="s">
        <v>30</v>
      </c>
      <c r="K11" s="8">
        <v>4705</v>
      </c>
    </row>
    <row r="12" spans="1:11">
      <c r="G12" s="3" t="s">
        <v>27</v>
      </c>
      <c r="H12" s="9">
        <v>784400</v>
      </c>
    </row>
    <row r="13" spans="1:11">
      <c r="G13" s="3" t="s">
        <v>23</v>
      </c>
      <c r="H13" s="9">
        <v>578500</v>
      </c>
    </row>
    <row r="14" spans="1:11">
      <c r="G14" s="3" t="s">
        <v>30</v>
      </c>
      <c r="H14" s="9">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SalesData</vt:lpstr>
      <vt:lpstr>Pivot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Rithika Harikrishnan</cp:lastModifiedBy>
  <dcterms:created xsi:type="dcterms:W3CDTF">2024-05-30T14:35:02Z</dcterms:created>
  <dcterms:modified xsi:type="dcterms:W3CDTF">2026-05-20T14:17:08Z</dcterms:modified>
</cp:coreProperties>
</file>